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JIT\Downloads\"/>
    </mc:Choice>
  </mc:AlternateContent>
  <xr:revisionPtr revIDLastSave="0" documentId="8_{05A0BE5F-2864-44FA-8BA7-7A90EE1DFF63}" xr6:coauthVersionLast="47" xr6:coauthVersionMax="47" xr10:uidLastSave="{00000000-0000-0000-0000-000000000000}"/>
  <bookViews>
    <workbookView xWindow="-108" yWindow="-108" windowWidth="23256" windowHeight="12576" firstSheet="2" activeTab="7" xr2:uid="{00000000-000D-0000-FFFF-FFFF00000000}"/>
  </bookViews>
  <sheets>
    <sheet name="Financials&gt;" sheetId="7" r:id="rId1"/>
    <sheet name="HistoricalFS" sheetId="24" r:id="rId2"/>
    <sheet name="Forecasting" sheetId="25" r:id="rId3"/>
    <sheet name="Ratio Analysis" sheetId="26" r:id="rId4"/>
    <sheet name="Common Size Statement" sheetId="27" r:id="rId5"/>
    <sheet name="Data&gt;" sheetId="9" r:id="rId6"/>
    <sheet name="Data Sheet" sheetId="6" r:id="rId7"/>
    <sheet name="Cash Flow Data" sheetId="19" r:id="rId8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26" l="1"/>
  <c r="K76" i="6" l="1"/>
  <c r="J76" i="6"/>
  <c r="I76" i="6"/>
  <c r="H76" i="6"/>
  <c r="G76" i="6"/>
  <c r="F76" i="6"/>
  <c r="E76" i="6"/>
  <c r="D76" i="6"/>
  <c r="C76" i="6"/>
  <c r="B76" i="6"/>
  <c r="K74" i="6"/>
  <c r="J74" i="6"/>
  <c r="I74" i="6"/>
  <c r="H74" i="6"/>
  <c r="G74" i="6"/>
  <c r="F74" i="6"/>
  <c r="E74" i="6"/>
  <c r="D74" i="6"/>
  <c r="C74" i="6"/>
  <c r="B74" i="6"/>
  <c r="K51" i="6"/>
  <c r="J51" i="6"/>
  <c r="I51" i="6"/>
  <c r="H51" i="6"/>
  <c r="G51" i="6"/>
  <c r="F51" i="6"/>
  <c r="E51" i="6"/>
  <c r="D51" i="6"/>
  <c r="C51" i="6"/>
  <c r="B51" i="6"/>
  <c r="K33" i="6"/>
  <c r="J33" i="6"/>
  <c r="I33" i="6"/>
  <c r="H33" i="6"/>
  <c r="G33" i="6"/>
  <c r="F33" i="6"/>
  <c r="I4" i="25" s="1" a="1"/>
  <c r="E33" i="6"/>
  <c r="D33" i="6"/>
  <c r="C33" i="6"/>
  <c r="B33" i="6"/>
  <c r="B6" i="6"/>
  <c r="E1" i="6"/>
  <c r="L9" i="24"/>
  <c r="L10" i="19"/>
  <c r="K10" i="19"/>
  <c r="K3" i="19" s="1"/>
  <c r="J10" i="19"/>
  <c r="J3" i="19" s="1"/>
  <c r="I10" i="19"/>
  <c r="I3" i="19" s="1"/>
  <c r="H10" i="19"/>
  <c r="H3" i="19" s="1"/>
  <c r="G10" i="19"/>
  <c r="G3" i="19" s="1"/>
  <c r="F10" i="19"/>
  <c r="F3" i="19" s="1"/>
  <c r="E10" i="19"/>
  <c r="E3" i="19" s="1"/>
  <c r="D10" i="19"/>
  <c r="D3" i="19" s="1"/>
  <c r="C10" i="19"/>
  <c r="C3" i="19" s="1"/>
  <c r="L3" i="19"/>
  <c r="B40" i="27"/>
  <c r="B39" i="27"/>
  <c r="B38" i="27"/>
  <c r="B37" i="27"/>
  <c r="B36" i="27"/>
  <c r="B35" i="27"/>
  <c r="B34" i="27"/>
  <c r="L31" i="27"/>
  <c r="K31" i="27"/>
  <c r="J31" i="27"/>
  <c r="I31" i="27"/>
  <c r="H31" i="27"/>
  <c r="G31" i="27"/>
  <c r="F31" i="27"/>
  <c r="E31" i="27"/>
  <c r="D31" i="27"/>
  <c r="C31" i="27"/>
  <c r="L30" i="27"/>
  <c r="K30" i="27"/>
  <c r="J30" i="27"/>
  <c r="I30" i="27"/>
  <c r="H30" i="27"/>
  <c r="G30" i="27"/>
  <c r="F30" i="27"/>
  <c r="E30" i="27"/>
  <c r="D30" i="27"/>
  <c r="C30" i="27"/>
  <c r="L29" i="27"/>
  <c r="K29" i="27"/>
  <c r="J29" i="27"/>
  <c r="I29" i="27"/>
  <c r="H29" i="27"/>
  <c r="G29" i="27"/>
  <c r="F29" i="27"/>
  <c r="E29" i="27"/>
  <c r="D29" i="27"/>
  <c r="C29" i="27"/>
  <c r="L28" i="27"/>
  <c r="K28" i="27"/>
  <c r="J28" i="27"/>
  <c r="I28" i="27"/>
  <c r="H28" i="27"/>
  <c r="G28" i="27"/>
  <c r="F28" i="27"/>
  <c r="E28" i="27"/>
  <c r="D28" i="27"/>
  <c r="C28" i="27"/>
  <c r="L27" i="27"/>
  <c r="K27" i="27"/>
  <c r="J27" i="27"/>
  <c r="I27" i="27"/>
  <c r="H27" i="27"/>
  <c r="G27" i="27"/>
  <c r="F27" i="27"/>
  <c r="E27" i="27"/>
  <c r="D27" i="27"/>
  <c r="C27" i="27"/>
  <c r="B31" i="27"/>
  <c r="B30" i="27"/>
  <c r="B29" i="27"/>
  <c r="B28" i="27"/>
  <c r="E25" i="27"/>
  <c r="D25" i="27"/>
  <c r="C25" i="27"/>
  <c r="B23" i="27"/>
  <c r="B2" i="27"/>
  <c r="D8" i="27"/>
  <c r="L20" i="27"/>
  <c r="K20" i="27"/>
  <c r="J20" i="27"/>
  <c r="I20" i="27"/>
  <c r="H20" i="27"/>
  <c r="G20" i="27"/>
  <c r="F20" i="27"/>
  <c r="E20" i="27"/>
  <c r="D20" i="27"/>
  <c r="C20" i="27"/>
  <c r="L19" i="27"/>
  <c r="K19" i="27"/>
  <c r="J19" i="27"/>
  <c r="I19" i="27"/>
  <c r="H19" i="27"/>
  <c r="G19" i="27"/>
  <c r="F19" i="27"/>
  <c r="E19" i="27"/>
  <c r="D19" i="27"/>
  <c r="C19" i="27"/>
  <c r="L18" i="27"/>
  <c r="K18" i="27"/>
  <c r="J18" i="27"/>
  <c r="I18" i="27"/>
  <c r="H18" i="27"/>
  <c r="G18" i="27"/>
  <c r="F18" i="27"/>
  <c r="E18" i="27"/>
  <c r="D18" i="27"/>
  <c r="C18" i="27"/>
  <c r="L17" i="27"/>
  <c r="K17" i="27"/>
  <c r="J17" i="27"/>
  <c r="I17" i="27"/>
  <c r="H17" i="27"/>
  <c r="G17" i="27"/>
  <c r="F17" i="27"/>
  <c r="E17" i="27"/>
  <c r="D17" i="27"/>
  <c r="C17" i="27"/>
  <c r="L16" i="27"/>
  <c r="K16" i="27"/>
  <c r="J16" i="27"/>
  <c r="I16" i="27"/>
  <c r="H16" i="27"/>
  <c r="G16" i="27"/>
  <c r="F16" i="27"/>
  <c r="E16" i="27"/>
  <c r="D16" i="27"/>
  <c r="C16" i="27"/>
  <c r="L15" i="27"/>
  <c r="K15" i="27"/>
  <c r="J15" i="27"/>
  <c r="I15" i="27"/>
  <c r="H15" i="27"/>
  <c r="G15" i="27"/>
  <c r="F15" i="27"/>
  <c r="E15" i="27"/>
  <c r="D15" i="27"/>
  <c r="C15" i="27"/>
  <c r="L14" i="27"/>
  <c r="K14" i="27"/>
  <c r="J14" i="27"/>
  <c r="I14" i="27"/>
  <c r="H14" i="27"/>
  <c r="G14" i="27"/>
  <c r="F14" i="27"/>
  <c r="E14" i="27"/>
  <c r="D14" i="27"/>
  <c r="C14" i="27"/>
  <c r="L13" i="27"/>
  <c r="K13" i="27"/>
  <c r="J13" i="27"/>
  <c r="I13" i="27"/>
  <c r="H13" i="27"/>
  <c r="G13" i="27"/>
  <c r="F13" i="27"/>
  <c r="E13" i="27"/>
  <c r="D13" i="27"/>
  <c r="C13" i="27"/>
  <c r="L12" i="27"/>
  <c r="K12" i="27"/>
  <c r="J12" i="27"/>
  <c r="I12" i="27"/>
  <c r="H12" i="27"/>
  <c r="G12" i="27"/>
  <c r="F12" i="27"/>
  <c r="E12" i="27"/>
  <c r="D12" i="27"/>
  <c r="C12" i="27"/>
  <c r="L11" i="27"/>
  <c r="K11" i="27"/>
  <c r="J11" i="27"/>
  <c r="I11" i="27"/>
  <c r="H11" i="27"/>
  <c r="G11" i="27"/>
  <c r="F11" i="27"/>
  <c r="E11" i="27"/>
  <c r="D11" i="27"/>
  <c r="C11" i="27"/>
  <c r="L10" i="27"/>
  <c r="K10" i="27"/>
  <c r="J10" i="27"/>
  <c r="I10" i="27"/>
  <c r="H10" i="27"/>
  <c r="G10" i="27"/>
  <c r="F10" i="27"/>
  <c r="E10" i="27"/>
  <c r="D10" i="27"/>
  <c r="C10" i="27"/>
  <c r="L9" i="27"/>
  <c r="K9" i="27"/>
  <c r="J9" i="27"/>
  <c r="I9" i="27"/>
  <c r="H9" i="27"/>
  <c r="G9" i="27"/>
  <c r="F9" i="27"/>
  <c r="E9" i="27"/>
  <c r="D9" i="27"/>
  <c r="C9" i="27"/>
  <c r="L8" i="27"/>
  <c r="K8" i="27"/>
  <c r="J8" i="27"/>
  <c r="I8" i="27"/>
  <c r="H8" i="27"/>
  <c r="G8" i="27"/>
  <c r="F8" i="27"/>
  <c r="E8" i="27"/>
  <c r="C8" i="27"/>
  <c r="L7" i="27"/>
  <c r="K7" i="27"/>
  <c r="J7" i="27"/>
  <c r="I7" i="27"/>
  <c r="H7" i="27"/>
  <c r="G7" i="27"/>
  <c r="F7" i="27"/>
  <c r="E7" i="27"/>
  <c r="D7" i="27"/>
  <c r="C7" i="27"/>
  <c r="B21" i="27"/>
  <c r="B20" i="27"/>
  <c r="B19" i="27"/>
  <c r="B18" i="27"/>
  <c r="B17" i="27"/>
  <c r="B16" i="27"/>
  <c r="B15" i="27"/>
  <c r="B14" i="27"/>
  <c r="B13" i="27"/>
  <c r="B12" i="27"/>
  <c r="B11" i="27"/>
  <c r="B10" i="27"/>
  <c r="B9" i="27"/>
  <c r="B8" i="27"/>
  <c r="B7" i="27"/>
  <c r="L6" i="27"/>
  <c r="K6" i="27"/>
  <c r="J6" i="27"/>
  <c r="I6" i="27"/>
  <c r="H6" i="27"/>
  <c r="G6" i="27"/>
  <c r="F6" i="27"/>
  <c r="E6" i="27"/>
  <c r="D6" i="27"/>
  <c r="C6" i="27"/>
  <c r="B6" i="27"/>
  <c r="L4" i="27"/>
  <c r="L25" i="27" s="1"/>
  <c r="K4" i="27"/>
  <c r="K25" i="27" s="1"/>
  <c r="J4" i="27"/>
  <c r="J25" i="27" s="1"/>
  <c r="I4" i="27"/>
  <c r="I25" i="27" s="1"/>
  <c r="H4" i="27"/>
  <c r="H25" i="27" s="1"/>
  <c r="G4" i="27"/>
  <c r="G25" i="27" s="1"/>
  <c r="F4" i="27"/>
  <c r="F25" i="27" s="1"/>
  <c r="E4" i="27"/>
  <c r="D4" i="27"/>
  <c r="C4" i="27"/>
  <c r="C5" i="26"/>
  <c r="B2" i="26"/>
  <c r="L3" i="26"/>
  <c r="K3" i="26"/>
  <c r="J3" i="26"/>
  <c r="I3" i="26"/>
  <c r="H3" i="26"/>
  <c r="G3" i="26"/>
  <c r="F3" i="26"/>
  <c r="E3" i="26"/>
  <c r="D3" i="26"/>
  <c r="C3" i="26"/>
  <c r="B2" i="25"/>
  <c r="D4" i="25" a="1"/>
  <c r="D4" i="25" s="1"/>
  <c r="C4" i="25"/>
  <c r="C5" i="25" s="1"/>
  <c r="L5" i="25"/>
  <c r="L6" i="25" s="1"/>
  <c r="L7" i="25" s="1"/>
  <c r="L8" i="25" s="1"/>
  <c r="L9" i="25" s="1"/>
  <c r="L10" i="25" s="1"/>
  <c r="L11" i="25" s="1"/>
  <c r="L12" i="25" s="1"/>
  <c r="L13" i="25" s="1"/>
  <c r="L14" i="25" s="1"/>
  <c r="L15" i="25" s="1"/>
  <c r="L16" i="25" s="1"/>
  <c r="L17" i="25" s="1"/>
  <c r="L18" i="25" s="1"/>
  <c r="G5" i="25"/>
  <c r="G6" i="25" s="1"/>
  <c r="G7" i="25" s="1"/>
  <c r="G8" i="25" s="1"/>
  <c r="G9" i="25" s="1"/>
  <c r="G10" i="25" s="1"/>
  <c r="G11" i="25" s="1"/>
  <c r="G12" i="25" s="1"/>
  <c r="G13" i="25" s="1"/>
  <c r="G14" i="25" s="1"/>
  <c r="G15" i="25" s="1"/>
  <c r="G16" i="25" s="1"/>
  <c r="G17" i="25" s="1"/>
  <c r="G18" i="25" s="1"/>
  <c r="B5" i="25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L2" i="25"/>
  <c r="G2" i="25"/>
  <c r="I8" i="25" l="1"/>
  <c r="J8" i="25" s="1"/>
  <c r="I7" i="25"/>
  <c r="I13" i="25"/>
  <c r="J13" i="25" s="1"/>
  <c r="I6" i="25"/>
  <c r="J6" i="25" s="1"/>
  <c r="I12" i="25"/>
  <c r="I5" i="25"/>
  <c r="I11" i="25"/>
  <c r="I10" i="25"/>
  <c r="I9" i="25"/>
  <c r="D7" i="25"/>
  <c r="D6" i="25"/>
  <c r="D13" i="25"/>
  <c r="D10" i="25"/>
  <c r="E10" i="25" s="1"/>
  <c r="D5" i="25"/>
  <c r="E5" i="25" s="1"/>
  <c r="D12" i="25"/>
  <c r="D11" i="25"/>
  <c r="E11" i="25" s="1"/>
  <c r="D9" i="25"/>
  <c r="D8" i="25"/>
  <c r="H5" i="25"/>
  <c r="M5" i="25" s="1"/>
  <c r="C6" i="25"/>
  <c r="H4" i="25"/>
  <c r="M4" i="25" s="1"/>
  <c r="E12" i="25" l="1"/>
  <c r="J7" i="25"/>
  <c r="E7" i="25"/>
  <c r="D15" i="25"/>
  <c r="E15" i="25" s="1"/>
  <c r="D18" i="25"/>
  <c r="E18" i="25" s="1"/>
  <c r="D14" i="25"/>
  <c r="E14" i="25" s="1"/>
  <c r="E6" i="25"/>
  <c r="D17" i="25"/>
  <c r="E13" i="25"/>
  <c r="D16" i="25"/>
  <c r="E16" i="25" s="1"/>
  <c r="J9" i="25"/>
  <c r="J10" i="25"/>
  <c r="J11" i="25"/>
  <c r="E8" i="25"/>
  <c r="E9" i="25"/>
  <c r="J12" i="25"/>
  <c r="C7" i="25"/>
  <c r="H6" i="25"/>
  <c r="M6" i="25" s="1"/>
  <c r="E17" i="25" l="1"/>
  <c r="C8" i="25"/>
  <c r="H7" i="25"/>
  <c r="M7" i="25" s="1"/>
  <c r="C9" i="25" l="1"/>
  <c r="H8" i="25"/>
  <c r="M8" i="25" s="1"/>
  <c r="C10" i="25" l="1"/>
  <c r="H9" i="25"/>
  <c r="M9" i="25" s="1"/>
  <c r="C11" i="25" l="1"/>
  <c r="H10" i="25"/>
  <c r="M10" i="25" s="1"/>
  <c r="C12" i="25" l="1"/>
  <c r="H11" i="25"/>
  <c r="M11" i="25" s="1"/>
  <c r="C13" i="25" l="1"/>
  <c r="H12" i="25"/>
  <c r="M12" i="25" s="1"/>
  <c r="C14" i="25" l="1"/>
  <c r="H13" i="25"/>
  <c r="M13" i="25" s="1"/>
  <c r="L99" i="24"/>
  <c r="K99" i="24"/>
  <c r="J99" i="24"/>
  <c r="I99" i="24"/>
  <c r="H99" i="24"/>
  <c r="G99" i="24"/>
  <c r="F99" i="24"/>
  <c r="E99" i="24"/>
  <c r="D99" i="24"/>
  <c r="C99" i="24"/>
  <c r="L98" i="24"/>
  <c r="K98" i="24"/>
  <c r="J98" i="24"/>
  <c r="I98" i="24"/>
  <c r="H98" i="24"/>
  <c r="G98" i="24"/>
  <c r="F98" i="24"/>
  <c r="E98" i="24"/>
  <c r="D98" i="24"/>
  <c r="C98" i="24"/>
  <c r="L97" i="24"/>
  <c r="K97" i="24"/>
  <c r="J97" i="24"/>
  <c r="I97" i="24"/>
  <c r="H97" i="24"/>
  <c r="G97" i="24"/>
  <c r="F97" i="24"/>
  <c r="E97" i="24"/>
  <c r="D97" i="24"/>
  <c r="C97" i="24"/>
  <c r="L96" i="24"/>
  <c r="K96" i="24"/>
  <c r="J96" i="24"/>
  <c r="I96" i="24"/>
  <c r="H96" i="24"/>
  <c r="G96" i="24"/>
  <c r="F96" i="24"/>
  <c r="E96" i="24"/>
  <c r="D96" i="24"/>
  <c r="C96" i="24"/>
  <c r="L95" i="24"/>
  <c r="K95" i="24"/>
  <c r="J95" i="24"/>
  <c r="I95" i="24"/>
  <c r="H95" i="24"/>
  <c r="G95" i="24"/>
  <c r="F95" i="24"/>
  <c r="E95" i="24"/>
  <c r="D95" i="24"/>
  <c r="C95" i="24"/>
  <c r="L94" i="24"/>
  <c r="K94" i="24"/>
  <c r="J94" i="24"/>
  <c r="I94" i="24"/>
  <c r="H94" i="24"/>
  <c r="G94" i="24"/>
  <c r="F94" i="24"/>
  <c r="F100" i="24" s="1"/>
  <c r="E94" i="24"/>
  <c r="E100" i="24" s="1"/>
  <c r="D94" i="24"/>
  <c r="C94" i="24"/>
  <c r="L93" i="24"/>
  <c r="K93" i="24"/>
  <c r="J93" i="24"/>
  <c r="I93" i="24"/>
  <c r="H93" i="24"/>
  <c r="G93" i="24"/>
  <c r="F93" i="24"/>
  <c r="E93" i="24"/>
  <c r="D93" i="24"/>
  <c r="D100" i="24" s="1"/>
  <c r="C93" i="24"/>
  <c r="C100" i="24" s="1"/>
  <c r="L89" i="24"/>
  <c r="K89" i="24"/>
  <c r="J89" i="24"/>
  <c r="I89" i="24"/>
  <c r="H89" i="24"/>
  <c r="G89" i="24"/>
  <c r="F89" i="24"/>
  <c r="E89" i="24"/>
  <c r="D89" i="24"/>
  <c r="C89" i="24"/>
  <c r="L88" i="24"/>
  <c r="K88" i="24"/>
  <c r="J88" i="24"/>
  <c r="I88" i="24"/>
  <c r="H88" i="24"/>
  <c r="G88" i="24"/>
  <c r="F88" i="24"/>
  <c r="E88" i="24"/>
  <c r="D88" i="24"/>
  <c r="C88" i="24"/>
  <c r="L87" i="24"/>
  <c r="K87" i="24"/>
  <c r="J87" i="24"/>
  <c r="I87" i="24"/>
  <c r="H87" i="24"/>
  <c r="G87" i="24"/>
  <c r="F87" i="24"/>
  <c r="E87" i="24"/>
  <c r="D87" i="24"/>
  <c r="C87" i="24"/>
  <c r="L86" i="24"/>
  <c r="K86" i="24"/>
  <c r="J86" i="24"/>
  <c r="I86" i="24"/>
  <c r="H86" i="24"/>
  <c r="G86" i="24"/>
  <c r="F86" i="24"/>
  <c r="E86" i="24"/>
  <c r="D86" i="24"/>
  <c r="C86" i="24"/>
  <c r="L85" i="24"/>
  <c r="K85" i="24"/>
  <c r="J85" i="24"/>
  <c r="I85" i="24"/>
  <c r="H85" i="24"/>
  <c r="G85" i="24"/>
  <c r="F85" i="24"/>
  <c r="E85" i="24"/>
  <c r="D85" i="24"/>
  <c r="C85" i="24"/>
  <c r="L84" i="24"/>
  <c r="K84" i="24"/>
  <c r="J84" i="24"/>
  <c r="I84" i="24"/>
  <c r="H84" i="24"/>
  <c r="G84" i="24"/>
  <c r="F84" i="24"/>
  <c r="E84" i="24"/>
  <c r="D84" i="24"/>
  <c r="C84" i="24"/>
  <c r="L83" i="24"/>
  <c r="K83" i="24"/>
  <c r="J83" i="24"/>
  <c r="I83" i="24"/>
  <c r="H83" i="24"/>
  <c r="G83" i="24"/>
  <c r="F83" i="24"/>
  <c r="E83" i="24"/>
  <c r="D83" i="24"/>
  <c r="C83" i="24"/>
  <c r="L82" i="24"/>
  <c r="K82" i="24"/>
  <c r="J82" i="24"/>
  <c r="I82" i="24"/>
  <c r="H82" i="24"/>
  <c r="G82" i="24"/>
  <c r="F82" i="24"/>
  <c r="E82" i="24"/>
  <c r="D82" i="24"/>
  <c r="C82" i="24"/>
  <c r="L81" i="24"/>
  <c r="K81" i="24"/>
  <c r="J81" i="24"/>
  <c r="I81" i="24"/>
  <c r="H81" i="24"/>
  <c r="G81" i="24"/>
  <c r="F81" i="24"/>
  <c r="E81" i="24"/>
  <c r="D81" i="24"/>
  <c r="C81" i="24"/>
  <c r="L77" i="24"/>
  <c r="K77" i="24"/>
  <c r="J77" i="24"/>
  <c r="I77" i="24"/>
  <c r="H77" i="24"/>
  <c r="G77" i="24"/>
  <c r="F77" i="24"/>
  <c r="E77" i="24"/>
  <c r="D77" i="24"/>
  <c r="C77" i="24"/>
  <c r="L75" i="24"/>
  <c r="K75" i="24"/>
  <c r="J75" i="24"/>
  <c r="I75" i="24"/>
  <c r="H75" i="24"/>
  <c r="G75" i="24"/>
  <c r="F75" i="24"/>
  <c r="E75" i="24"/>
  <c r="D75" i="24"/>
  <c r="C75" i="24"/>
  <c r="L74" i="24"/>
  <c r="K74" i="24"/>
  <c r="J74" i="24"/>
  <c r="I74" i="24"/>
  <c r="H74" i="24"/>
  <c r="G74" i="24"/>
  <c r="F74" i="24"/>
  <c r="E74" i="24"/>
  <c r="D74" i="24"/>
  <c r="C74" i="24"/>
  <c r="L73" i="24"/>
  <c r="K73" i="24"/>
  <c r="J73" i="24"/>
  <c r="I73" i="24"/>
  <c r="H73" i="24"/>
  <c r="G73" i="24"/>
  <c r="F73" i="24"/>
  <c r="E73" i="24"/>
  <c r="D73" i="24"/>
  <c r="C73" i="24"/>
  <c r="L72" i="24"/>
  <c r="K72" i="24"/>
  <c r="J72" i="24"/>
  <c r="I72" i="24"/>
  <c r="H72" i="24"/>
  <c r="G72" i="24"/>
  <c r="F72" i="24"/>
  <c r="E72" i="24"/>
  <c r="D72" i="24"/>
  <c r="C72" i="24"/>
  <c r="L71" i="24"/>
  <c r="K71" i="24"/>
  <c r="J71" i="24"/>
  <c r="I71" i="24"/>
  <c r="H71" i="24"/>
  <c r="G71" i="24"/>
  <c r="F71" i="24"/>
  <c r="E71" i="24"/>
  <c r="D71" i="24"/>
  <c r="C71" i="24"/>
  <c r="L70" i="24"/>
  <c r="K70" i="24"/>
  <c r="J70" i="24"/>
  <c r="I70" i="24"/>
  <c r="H70" i="24"/>
  <c r="G70" i="24"/>
  <c r="F70" i="24"/>
  <c r="E70" i="24"/>
  <c r="D70" i="24"/>
  <c r="C70" i="24"/>
  <c r="L61" i="24"/>
  <c r="K61" i="24"/>
  <c r="J61" i="24"/>
  <c r="I61" i="24"/>
  <c r="H61" i="24"/>
  <c r="G61" i="24"/>
  <c r="F61" i="24"/>
  <c r="E61" i="24"/>
  <c r="D61" i="24"/>
  <c r="C61" i="24"/>
  <c r="L60" i="24"/>
  <c r="K60" i="24"/>
  <c r="J60" i="24"/>
  <c r="I60" i="24"/>
  <c r="H60" i="24"/>
  <c r="G60" i="24"/>
  <c r="F60" i="24"/>
  <c r="E60" i="24"/>
  <c r="D60" i="24"/>
  <c r="C60" i="24"/>
  <c r="L59" i="24"/>
  <c r="K59" i="24"/>
  <c r="J59" i="24"/>
  <c r="I59" i="24"/>
  <c r="H59" i="24"/>
  <c r="G59" i="24"/>
  <c r="F59" i="24"/>
  <c r="E59" i="24"/>
  <c r="D59" i="24"/>
  <c r="C59" i="24"/>
  <c r="L55" i="24"/>
  <c r="K55" i="24"/>
  <c r="J55" i="24"/>
  <c r="I55" i="24"/>
  <c r="H55" i="24"/>
  <c r="G55" i="24"/>
  <c r="F55" i="24"/>
  <c r="E55" i="24"/>
  <c r="D55" i="24"/>
  <c r="C55" i="24"/>
  <c r="L54" i="24"/>
  <c r="K54" i="24"/>
  <c r="J54" i="24"/>
  <c r="I54" i="24"/>
  <c r="H54" i="24"/>
  <c r="G54" i="24"/>
  <c r="F54" i="24"/>
  <c r="E54" i="24"/>
  <c r="D54" i="24"/>
  <c r="C54" i="24"/>
  <c r="L53" i="24"/>
  <c r="K53" i="24"/>
  <c r="J53" i="24"/>
  <c r="I53" i="24"/>
  <c r="H53" i="24"/>
  <c r="H57" i="24" s="1"/>
  <c r="G53" i="24"/>
  <c r="F53" i="24"/>
  <c r="E53" i="24"/>
  <c r="D53" i="24"/>
  <c r="C56" i="24"/>
  <c r="D56" i="24"/>
  <c r="E56" i="24"/>
  <c r="F56" i="24"/>
  <c r="F57" i="24" s="1"/>
  <c r="G56" i="24"/>
  <c r="H56" i="24"/>
  <c r="I56" i="24"/>
  <c r="J56" i="24"/>
  <c r="K56" i="24"/>
  <c r="L56" i="24"/>
  <c r="C53" i="24"/>
  <c r="L50" i="24"/>
  <c r="K50" i="24"/>
  <c r="J50" i="24"/>
  <c r="I50" i="24"/>
  <c r="H50" i="24"/>
  <c r="G50" i="24"/>
  <c r="F50" i="24"/>
  <c r="E50" i="24"/>
  <c r="D50" i="24"/>
  <c r="C50" i="24"/>
  <c r="L49" i="24"/>
  <c r="K49" i="24"/>
  <c r="J49" i="24"/>
  <c r="I49" i="24"/>
  <c r="H49" i="24"/>
  <c r="G49" i="24"/>
  <c r="F49" i="24"/>
  <c r="E49" i="24"/>
  <c r="D49" i="24"/>
  <c r="C49" i="24"/>
  <c r="L48" i="24"/>
  <c r="K48" i="24"/>
  <c r="J48" i="24"/>
  <c r="I48" i="24"/>
  <c r="H48" i="24"/>
  <c r="G48" i="24"/>
  <c r="F48" i="24"/>
  <c r="E48" i="24"/>
  <c r="D48" i="24"/>
  <c r="C48" i="24"/>
  <c r="L47" i="24"/>
  <c r="K47" i="24"/>
  <c r="J47" i="24"/>
  <c r="I47" i="24"/>
  <c r="H47" i="24"/>
  <c r="G47" i="24"/>
  <c r="F47" i="24"/>
  <c r="E47" i="24"/>
  <c r="D47" i="24"/>
  <c r="C47" i="24"/>
  <c r="L36" i="24"/>
  <c r="L41" i="24" s="1"/>
  <c r="L9" i="26" s="1"/>
  <c r="K36" i="24"/>
  <c r="K41" i="24" s="1"/>
  <c r="J36" i="24"/>
  <c r="J41" i="24" s="1"/>
  <c r="I36" i="24"/>
  <c r="I41" i="24" s="1"/>
  <c r="H36" i="24"/>
  <c r="H41" i="24" s="1"/>
  <c r="G36" i="24"/>
  <c r="G41" i="24" s="1"/>
  <c r="G9" i="26" s="1"/>
  <c r="F36" i="24"/>
  <c r="F41" i="24" s="1"/>
  <c r="E36" i="24"/>
  <c r="E41" i="24" s="1"/>
  <c r="D36" i="24"/>
  <c r="D41" i="24" s="1"/>
  <c r="C36" i="24"/>
  <c r="C41" i="24" s="1"/>
  <c r="L30" i="24"/>
  <c r="K30" i="24"/>
  <c r="J30" i="24"/>
  <c r="I30" i="24"/>
  <c r="H30" i="24"/>
  <c r="G30" i="24"/>
  <c r="F30" i="24"/>
  <c r="E30" i="24"/>
  <c r="D30" i="24"/>
  <c r="C30" i="24"/>
  <c r="L24" i="24"/>
  <c r="K24" i="24"/>
  <c r="J24" i="24"/>
  <c r="I24" i="24"/>
  <c r="H24" i="24"/>
  <c r="G24" i="24"/>
  <c r="F24" i="24"/>
  <c r="E24" i="24"/>
  <c r="D24" i="24"/>
  <c r="C24" i="24"/>
  <c r="L21" i="24"/>
  <c r="K21" i="24"/>
  <c r="J21" i="24"/>
  <c r="I21" i="24"/>
  <c r="H21" i="24"/>
  <c r="G21" i="24"/>
  <c r="F21" i="24"/>
  <c r="E21" i="24"/>
  <c r="D21" i="24"/>
  <c r="C21" i="24"/>
  <c r="F16" i="24"/>
  <c r="F17" i="26" s="1"/>
  <c r="L15" i="24"/>
  <c r="K15" i="24"/>
  <c r="J15" i="24"/>
  <c r="I15" i="24"/>
  <c r="H15" i="24"/>
  <c r="G15" i="24"/>
  <c r="F15" i="24"/>
  <c r="E15" i="24"/>
  <c r="D15" i="24"/>
  <c r="C15" i="24"/>
  <c r="C16" i="24" s="1"/>
  <c r="C17" i="26" s="1"/>
  <c r="L10" i="24"/>
  <c r="K9" i="24"/>
  <c r="K12" i="24" s="1"/>
  <c r="J9" i="24"/>
  <c r="I9" i="24"/>
  <c r="H9" i="24"/>
  <c r="G9" i="24"/>
  <c r="G10" i="24" s="1"/>
  <c r="F9" i="24"/>
  <c r="E9" i="24"/>
  <c r="D9" i="24"/>
  <c r="C9" i="24"/>
  <c r="L6" i="24"/>
  <c r="K6" i="24"/>
  <c r="J6" i="24"/>
  <c r="I6" i="24"/>
  <c r="H6" i="24"/>
  <c r="G6" i="24"/>
  <c r="F6" i="24"/>
  <c r="E6" i="24"/>
  <c r="D6" i="24"/>
  <c r="C6" i="24"/>
  <c r="L3" i="24"/>
  <c r="K3" i="24"/>
  <c r="J3" i="24"/>
  <c r="I3" i="24"/>
  <c r="H3" i="24"/>
  <c r="G3" i="24"/>
  <c r="F3" i="24"/>
  <c r="E3" i="24"/>
  <c r="D3" i="24"/>
  <c r="C3" i="24"/>
  <c r="B2" i="24"/>
  <c r="I9" i="26" l="1"/>
  <c r="K25" i="24"/>
  <c r="K18" i="26" s="1"/>
  <c r="D57" i="24"/>
  <c r="L25" i="24"/>
  <c r="L18" i="26" s="1"/>
  <c r="H10" i="24"/>
  <c r="K22" i="24"/>
  <c r="K51" i="24"/>
  <c r="K76" i="24"/>
  <c r="K78" i="24" s="1"/>
  <c r="L76" i="24"/>
  <c r="C90" i="24"/>
  <c r="J76" i="24"/>
  <c r="E76" i="24"/>
  <c r="E78" i="24" s="1"/>
  <c r="K100" i="24"/>
  <c r="F76" i="24"/>
  <c r="F78" i="24" s="1"/>
  <c r="F90" i="24"/>
  <c r="L100" i="24"/>
  <c r="K90" i="24"/>
  <c r="L78" i="24"/>
  <c r="L102" i="24" s="1"/>
  <c r="I76" i="24"/>
  <c r="I78" i="24" s="1"/>
  <c r="D76" i="24"/>
  <c r="I90" i="24"/>
  <c r="G100" i="24"/>
  <c r="L90" i="24"/>
  <c r="H100" i="24"/>
  <c r="C76" i="24"/>
  <c r="C78" i="24" s="1"/>
  <c r="I100" i="24"/>
  <c r="D90" i="24"/>
  <c r="J100" i="24"/>
  <c r="E90" i="24"/>
  <c r="E102" i="24" s="1"/>
  <c r="G76" i="24"/>
  <c r="G78" i="24" s="1"/>
  <c r="G90" i="24"/>
  <c r="H76" i="24"/>
  <c r="H78" i="24" s="1"/>
  <c r="H90" i="24"/>
  <c r="J90" i="24"/>
  <c r="J78" i="24"/>
  <c r="E40" i="26"/>
  <c r="E38" i="26"/>
  <c r="D78" i="24"/>
  <c r="H38" i="26"/>
  <c r="H40" i="26"/>
  <c r="E12" i="24"/>
  <c r="E18" i="24" s="1"/>
  <c r="E27" i="26"/>
  <c r="E33" i="26" s="1"/>
  <c r="E29" i="26"/>
  <c r="E35" i="26" s="1"/>
  <c r="E28" i="26"/>
  <c r="E34" i="26" s="1"/>
  <c r="E36" i="26" s="1"/>
  <c r="E31" i="26"/>
  <c r="E30" i="26"/>
  <c r="E62" i="24"/>
  <c r="G7" i="24"/>
  <c r="G5" i="26" s="1"/>
  <c r="G28" i="26"/>
  <c r="G34" i="26" s="1"/>
  <c r="G29" i="26"/>
  <c r="G35" i="26" s="1"/>
  <c r="G30" i="26"/>
  <c r="G27" i="26"/>
  <c r="G33" i="26" s="1"/>
  <c r="G31" i="26"/>
  <c r="I12" i="24"/>
  <c r="K9" i="26"/>
  <c r="L51" i="24"/>
  <c r="D51" i="24"/>
  <c r="I25" i="24"/>
  <c r="I18" i="26" s="1"/>
  <c r="I29" i="26"/>
  <c r="I35" i="26" s="1"/>
  <c r="I31" i="26"/>
  <c r="I30" i="26"/>
  <c r="I27" i="26"/>
  <c r="I33" i="26" s="1"/>
  <c r="I28" i="26"/>
  <c r="I34" i="26" s="1"/>
  <c r="F28" i="26"/>
  <c r="F34" i="26" s="1"/>
  <c r="F30" i="26"/>
  <c r="F29" i="26"/>
  <c r="F35" i="26" s="1"/>
  <c r="F31" i="26"/>
  <c r="F27" i="26"/>
  <c r="F33" i="26" s="1"/>
  <c r="J9" i="26"/>
  <c r="I57" i="24"/>
  <c r="H29" i="26"/>
  <c r="H35" i="26" s="1"/>
  <c r="H31" i="26"/>
  <c r="H30" i="26"/>
  <c r="H27" i="26"/>
  <c r="H33" i="26" s="1"/>
  <c r="H28" i="26"/>
  <c r="H34" i="26" s="1"/>
  <c r="J10" i="24"/>
  <c r="I22" i="24"/>
  <c r="J25" i="24"/>
  <c r="J18" i="26" s="1"/>
  <c r="K57" i="24"/>
  <c r="K64" i="24" s="1"/>
  <c r="J30" i="26"/>
  <c r="J31" i="26"/>
  <c r="J28" i="26"/>
  <c r="J34" i="26" s="1"/>
  <c r="J27" i="26"/>
  <c r="J33" i="26" s="1"/>
  <c r="J29" i="26"/>
  <c r="J35" i="26" s="1"/>
  <c r="K30" i="26"/>
  <c r="K31" i="26"/>
  <c r="K28" i="26"/>
  <c r="K34" i="26" s="1"/>
  <c r="K35" i="26"/>
  <c r="K27" i="26"/>
  <c r="K33" i="26" s="1"/>
  <c r="D9" i="26"/>
  <c r="C25" i="24"/>
  <c r="C18" i="26" s="1"/>
  <c r="E9" i="26"/>
  <c r="F51" i="24"/>
  <c r="I62" i="24"/>
  <c r="G62" i="24"/>
  <c r="D16" i="24"/>
  <c r="D17" i="26" s="1"/>
  <c r="O17" i="26" s="1"/>
  <c r="D12" i="24"/>
  <c r="C22" i="24"/>
  <c r="D25" i="24"/>
  <c r="D18" i="26" s="1"/>
  <c r="F9" i="26"/>
  <c r="K16" i="24"/>
  <c r="K17" i="26" s="1"/>
  <c r="C12" i="24"/>
  <c r="C13" i="24" s="1"/>
  <c r="C27" i="26"/>
  <c r="C28" i="26"/>
  <c r="C30" i="26"/>
  <c r="C31" i="26"/>
  <c r="C29" i="26"/>
  <c r="H51" i="24"/>
  <c r="K62" i="24"/>
  <c r="I16" i="24"/>
  <c r="I17" i="26" s="1"/>
  <c r="L31" i="26"/>
  <c r="L27" i="26"/>
  <c r="L33" i="26" s="1"/>
  <c r="L29" i="26"/>
  <c r="L35" i="26" s="1"/>
  <c r="L30" i="26"/>
  <c r="L28" i="26"/>
  <c r="L34" i="26" s="1"/>
  <c r="D29" i="26"/>
  <c r="D35" i="26" s="1"/>
  <c r="D27" i="26"/>
  <c r="D33" i="26" s="1"/>
  <c r="D28" i="26"/>
  <c r="D34" i="26" s="1"/>
  <c r="D36" i="26" s="1"/>
  <c r="D31" i="26"/>
  <c r="D30" i="26"/>
  <c r="F10" i="24"/>
  <c r="H9" i="26"/>
  <c r="C15" i="25"/>
  <c r="H14" i="25"/>
  <c r="M14" i="25" s="1"/>
  <c r="F7" i="24"/>
  <c r="F5" i="26" s="1"/>
  <c r="E16" i="24"/>
  <c r="E17" i="26" s="1"/>
  <c r="H12" i="24"/>
  <c r="G51" i="24"/>
  <c r="K7" i="24"/>
  <c r="K5" i="26" s="1"/>
  <c r="J16" i="24"/>
  <c r="J17" i="26" s="1"/>
  <c r="D22" i="24"/>
  <c r="E25" i="24"/>
  <c r="E18" i="26" s="1"/>
  <c r="C51" i="24"/>
  <c r="C62" i="24"/>
  <c r="L7" i="24"/>
  <c r="L5" i="26" s="1"/>
  <c r="E22" i="24"/>
  <c r="F25" i="24"/>
  <c r="F18" i="26" s="1"/>
  <c r="F62" i="24"/>
  <c r="F64" i="24" s="1"/>
  <c r="F66" i="24" s="1"/>
  <c r="J57" i="24"/>
  <c r="J7" i="24"/>
  <c r="J5" i="26" s="1"/>
  <c r="E51" i="24"/>
  <c r="I51" i="24"/>
  <c r="D62" i="24"/>
  <c r="D64" i="24" s="1"/>
  <c r="D66" i="24" s="1"/>
  <c r="C10" i="24"/>
  <c r="F12" i="24"/>
  <c r="L16" i="24"/>
  <c r="L17" i="26" s="1"/>
  <c r="F22" i="24"/>
  <c r="G25" i="24"/>
  <c r="G18" i="26" s="1"/>
  <c r="H22" i="24"/>
  <c r="H16" i="24"/>
  <c r="H17" i="26" s="1"/>
  <c r="L57" i="24"/>
  <c r="G22" i="24"/>
  <c r="J51" i="24"/>
  <c r="C57" i="24"/>
  <c r="E57" i="24"/>
  <c r="G57" i="24"/>
  <c r="H62" i="24"/>
  <c r="H64" i="24" s="1"/>
  <c r="J62" i="24"/>
  <c r="L62" i="24"/>
  <c r="G12" i="24"/>
  <c r="G18" i="24" s="1"/>
  <c r="H25" i="24"/>
  <c r="H18" i="26" s="1"/>
  <c r="E10" i="24"/>
  <c r="I7" i="24"/>
  <c r="I5" i="26" s="1"/>
  <c r="H13" i="24"/>
  <c r="H18" i="24"/>
  <c r="I13" i="24"/>
  <c r="I18" i="24"/>
  <c r="I6" i="26" s="1"/>
  <c r="K18" i="24"/>
  <c r="K13" i="24"/>
  <c r="E13" i="24"/>
  <c r="D13" i="24"/>
  <c r="D18" i="24"/>
  <c r="K10" i="24"/>
  <c r="D10" i="24"/>
  <c r="J12" i="24"/>
  <c r="L12" i="24"/>
  <c r="G16" i="24"/>
  <c r="G17" i="26" s="1"/>
  <c r="D7" i="24"/>
  <c r="D5" i="26" s="1"/>
  <c r="J22" i="24"/>
  <c r="E7" i="24"/>
  <c r="E5" i="26" s="1"/>
  <c r="L22" i="24"/>
  <c r="H7" i="24"/>
  <c r="H5" i="26" s="1"/>
  <c r="I10" i="24"/>
  <c r="N17" i="26" l="1"/>
  <c r="E6" i="26"/>
  <c r="H66" i="24"/>
  <c r="G102" i="24"/>
  <c r="H102" i="24"/>
  <c r="F102" i="24"/>
  <c r="K102" i="24"/>
  <c r="K40" i="26"/>
  <c r="K38" i="26"/>
  <c r="L38" i="26"/>
  <c r="G40" i="26"/>
  <c r="G38" i="26"/>
  <c r="L40" i="26"/>
  <c r="F40" i="26"/>
  <c r="F38" i="26"/>
  <c r="C11" i="26"/>
  <c r="C19" i="26"/>
  <c r="K66" i="24"/>
  <c r="K39" i="26"/>
  <c r="E19" i="26"/>
  <c r="E11" i="26"/>
  <c r="K11" i="26"/>
  <c r="K19" i="26"/>
  <c r="O28" i="26"/>
  <c r="C34" i="26"/>
  <c r="N28" i="26"/>
  <c r="J36" i="26"/>
  <c r="I64" i="24"/>
  <c r="I66" i="24" s="1"/>
  <c r="N31" i="26"/>
  <c r="O31" i="26"/>
  <c r="D39" i="26"/>
  <c r="D40" i="26"/>
  <c r="D38" i="26"/>
  <c r="D102" i="24"/>
  <c r="L64" i="24"/>
  <c r="N30" i="26"/>
  <c r="O30" i="26"/>
  <c r="L36" i="26"/>
  <c r="C33" i="26"/>
  <c r="O27" i="26"/>
  <c r="N27" i="26"/>
  <c r="G64" i="24"/>
  <c r="F36" i="26"/>
  <c r="H19" i="26"/>
  <c r="H11" i="26"/>
  <c r="C18" i="24"/>
  <c r="C27" i="24" s="1"/>
  <c r="E64" i="24"/>
  <c r="K36" i="26"/>
  <c r="H36" i="26"/>
  <c r="I36" i="26"/>
  <c r="F39" i="26"/>
  <c r="C40" i="26"/>
  <c r="C38" i="26"/>
  <c r="C102" i="24"/>
  <c r="N18" i="26"/>
  <c r="O18" i="26"/>
  <c r="H6" i="26"/>
  <c r="O9" i="26"/>
  <c r="N9" i="26"/>
  <c r="H39" i="26"/>
  <c r="J40" i="26"/>
  <c r="J38" i="26"/>
  <c r="J102" i="24"/>
  <c r="I19" i="26"/>
  <c r="I11" i="26"/>
  <c r="D19" i="26"/>
  <c r="D11" i="26"/>
  <c r="G13" i="24"/>
  <c r="C64" i="24"/>
  <c r="C66" i="24" s="1"/>
  <c r="N5" i="26"/>
  <c r="O5" i="26"/>
  <c r="O29" i="26"/>
  <c r="C35" i="26"/>
  <c r="N29" i="26"/>
  <c r="G36" i="26"/>
  <c r="I38" i="26"/>
  <c r="I39" i="26"/>
  <c r="I40" i="26"/>
  <c r="I102" i="24"/>
  <c r="C16" i="25"/>
  <c r="H15" i="25"/>
  <c r="M15" i="25" s="1"/>
  <c r="F13" i="24"/>
  <c r="F18" i="24"/>
  <c r="F6" i="26" s="1"/>
  <c r="J64" i="24"/>
  <c r="J66" i="24" s="1"/>
  <c r="D27" i="24"/>
  <c r="D19" i="24"/>
  <c r="D12" i="26" s="1"/>
  <c r="H19" i="24"/>
  <c r="H12" i="26" s="1"/>
  <c r="H27" i="24"/>
  <c r="L18" i="24"/>
  <c r="L6" i="26" s="1"/>
  <c r="L13" i="24"/>
  <c r="E27" i="24"/>
  <c r="E19" i="24"/>
  <c r="E12" i="26" s="1"/>
  <c r="G27" i="24"/>
  <c r="G19" i="24"/>
  <c r="G12" i="26" s="1"/>
  <c r="J13" i="24"/>
  <c r="J18" i="24"/>
  <c r="J6" i="26" s="1"/>
  <c r="K27" i="24"/>
  <c r="K19" i="24"/>
  <c r="K12" i="26" s="1"/>
  <c r="I27" i="24"/>
  <c r="I19" i="24"/>
  <c r="I12" i="26" s="1"/>
  <c r="D6" i="26" l="1"/>
  <c r="C19" i="24"/>
  <c r="C12" i="26" s="1"/>
  <c r="K6" i="26"/>
  <c r="G21" i="26"/>
  <c r="G13" i="26"/>
  <c r="G25" i="26"/>
  <c r="I13" i="26"/>
  <c r="I21" i="26"/>
  <c r="I7" i="26"/>
  <c r="I25" i="26"/>
  <c r="G11" i="26"/>
  <c r="G19" i="26"/>
  <c r="E66" i="24"/>
  <c r="E39" i="26"/>
  <c r="N34" i="26"/>
  <c r="O34" i="26"/>
  <c r="C36" i="26"/>
  <c r="E21" i="26"/>
  <c r="E13" i="26"/>
  <c r="E7" i="26"/>
  <c r="E25" i="26"/>
  <c r="C25" i="26"/>
  <c r="C13" i="26"/>
  <c r="C21" i="26"/>
  <c r="L66" i="24"/>
  <c r="L39" i="26"/>
  <c r="G66" i="24"/>
  <c r="G39" i="26"/>
  <c r="O38" i="26"/>
  <c r="N38" i="26"/>
  <c r="F11" i="26"/>
  <c r="F19" i="26"/>
  <c r="L11" i="26"/>
  <c r="L19" i="26"/>
  <c r="D21" i="26"/>
  <c r="D13" i="26"/>
  <c r="D25" i="26"/>
  <c r="D7" i="26"/>
  <c r="N35" i="26"/>
  <c r="O35" i="26"/>
  <c r="J39" i="26"/>
  <c r="O40" i="26"/>
  <c r="N40" i="26"/>
  <c r="H7" i="26"/>
  <c r="H13" i="26"/>
  <c r="H21" i="26"/>
  <c r="H25" i="26"/>
  <c r="N33" i="26"/>
  <c r="O33" i="26"/>
  <c r="G6" i="26"/>
  <c r="N6" i="26" s="1"/>
  <c r="K25" i="26"/>
  <c r="K21" i="26"/>
  <c r="K13" i="26"/>
  <c r="C39" i="26"/>
  <c r="J11" i="26"/>
  <c r="J19" i="26"/>
  <c r="C17" i="25"/>
  <c r="H16" i="25"/>
  <c r="M16" i="25" s="1"/>
  <c r="F19" i="24"/>
  <c r="F12" i="26" s="1"/>
  <c r="F27" i="24"/>
  <c r="G28" i="24"/>
  <c r="G14" i="26" s="1"/>
  <c r="G33" i="24"/>
  <c r="G31" i="24"/>
  <c r="E28" i="24"/>
  <c r="E14" i="26" s="1"/>
  <c r="E33" i="24"/>
  <c r="E31" i="24"/>
  <c r="I28" i="24"/>
  <c r="I14" i="26" s="1"/>
  <c r="I33" i="24"/>
  <c r="I31" i="24"/>
  <c r="K28" i="24"/>
  <c r="K14" i="26" s="1"/>
  <c r="K33" i="24"/>
  <c r="K31" i="24"/>
  <c r="L27" i="24"/>
  <c r="L19" i="24"/>
  <c r="L12" i="26" s="1"/>
  <c r="H33" i="24"/>
  <c r="H28" i="24"/>
  <c r="H14" i="26" s="1"/>
  <c r="H31" i="24"/>
  <c r="C33" i="24"/>
  <c r="C23" i="26" s="1"/>
  <c r="C28" i="24"/>
  <c r="C14" i="26" s="1"/>
  <c r="C31" i="24"/>
  <c r="J27" i="24"/>
  <c r="K7" i="26" s="1"/>
  <c r="J19" i="24"/>
  <c r="J12" i="26" s="1"/>
  <c r="D33" i="24"/>
  <c r="D28" i="24"/>
  <c r="D14" i="26" s="1"/>
  <c r="D31" i="24"/>
  <c r="O11" i="26" l="1"/>
  <c r="O12" i="26"/>
  <c r="N19" i="26"/>
  <c r="E8" i="26"/>
  <c r="E23" i="26"/>
  <c r="O6" i="26"/>
  <c r="N12" i="26"/>
  <c r="H8" i="26"/>
  <c r="H23" i="26"/>
  <c r="O39" i="26"/>
  <c r="N39" i="26"/>
  <c r="L25" i="26"/>
  <c r="L7" i="26"/>
  <c r="L13" i="26"/>
  <c r="L21" i="26"/>
  <c r="G23" i="26"/>
  <c r="F21" i="26"/>
  <c r="O21" i="26" s="1"/>
  <c r="F13" i="26"/>
  <c r="O13" i="26" s="1"/>
  <c r="F7" i="26"/>
  <c r="F25" i="26"/>
  <c r="I8" i="26"/>
  <c r="I23" i="26"/>
  <c r="O19" i="26"/>
  <c r="J25" i="26"/>
  <c r="J21" i="26"/>
  <c r="J13" i="26"/>
  <c r="J7" i="26"/>
  <c r="N11" i="26"/>
  <c r="N36" i="26"/>
  <c r="O36" i="26"/>
  <c r="G7" i="26"/>
  <c r="K23" i="26"/>
  <c r="D23" i="26"/>
  <c r="D8" i="26"/>
  <c r="C18" i="25"/>
  <c r="H18" i="25" s="1"/>
  <c r="M18" i="25" s="1"/>
  <c r="H17" i="25"/>
  <c r="M17" i="25" s="1"/>
  <c r="F31" i="24"/>
  <c r="F28" i="24"/>
  <c r="F14" i="26" s="1"/>
  <c r="F33" i="24"/>
  <c r="G8" i="26" s="1"/>
  <c r="C34" i="24"/>
  <c r="C15" i="26" s="1"/>
  <c r="C38" i="24"/>
  <c r="H38" i="24"/>
  <c r="H34" i="24"/>
  <c r="H15" i="26" s="1"/>
  <c r="L28" i="24"/>
  <c r="L14" i="26" s="1"/>
  <c r="L33" i="24"/>
  <c r="L31" i="24"/>
  <c r="E34" i="24"/>
  <c r="E15" i="26" s="1"/>
  <c r="E38" i="24"/>
  <c r="D34" i="24"/>
  <c r="D15" i="26" s="1"/>
  <c r="D38" i="24"/>
  <c r="K34" i="24"/>
  <c r="K15" i="26" s="1"/>
  <c r="K38" i="24"/>
  <c r="G34" i="24"/>
  <c r="G15" i="26" s="1"/>
  <c r="G38" i="24"/>
  <c r="I34" i="24"/>
  <c r="I15" i="26" s="1"/>
  <c r="I38" i="24"/>
  <c r="J28" i="24"/>
  <c r="J14" i="26" s="1"/>
  <c r="J33" i="24"/>
  <c r="J31" i="24"/>
  <c r="O25" i="26" l="1"/>
  <c r="N7" i="26"/>
  <c r="N14" i="26"/>
  <c r="N25" i="26"/>
  <c r="J8" i="26"/>
  <c r="J23" i="26"/>
  <c r="O7" i="26"/>
  <c r="O14" i="26"/>
  <c r="N21" i="26"/>
  <c r="O23" i="26"/>
  <c r="N13" i="26"/>
  <c r="K8" i="26"/>
  <c r="L8" i="26"/>
  <c r="L23" i="26"/>
  <c r="F8" i="26"/>
  <c r="F23" i="26"/>
  <c r="F38" i="24"/>
  <c r="F34" i="24"/>
  <c r="F15" i="26" s="1"/>
  <c r="E39" i="24"/>
  <c r="E42" i="24"/>
  <c r="E44" i="24" s="1"/>
  <c r="E22" i="26" s="1"/>
  <c r="E24" i="26" s="1"/>
  <c r="I39" i="24"/>
  <c r="I42" i="24"/>
  <c r="I44" i="24" s="1"/>
  <c r="I22" i="26" s="1"/>
  <c r="I24" i="26" s="1"/>
  <c r="F39" i="24"/>
  <c r="L34" i="24"/>
  <c r="L15" i="26" s="1"/>
  <c r="L38" i="24"/>
  <c r="N4" i="25" s="1" a="1"/>
  <c r="J34" i="24"/>
  <c r="J15" i="26" s="1"/>
  <c r="J38" i="24"/>
  <c r="K39" i="24" s="1"/>
  <c r="H39" i="24"/>
  <c r="H42" i="24"/>
  <c r="H44" i="24" s="1"/>
  <c r="H22" i="26" s="1"/>
  <c r="H24" i="26" s="1"/>
  <c r="D39" i="24"/>
  <c r="D42" i="24"/>
  <c r="D44" i="24" s="1"/>
  <c r="D22" i="26" s="1"/>
  <c r="D24" i="26" s="1"/>
  <c r="C42" i="24"/>
  <c r="C44" i="24" s="1"/>
  <c r="C22" i="26" s="1"/>
  <c r="G39" i="24"/>
  <c r="G42" i="24"/>
  <c r="G44" i="24" s="1"/>
  <c r="G22" i="26" s="1"/>
  <c r="G24" i="26" s="1"/>
  <c r="K42" i="24"/>
  <c r="K44" i="24" s="1"/>
  <c r="K22" i="26" s="1"/>
  <c r="K24" i="26" s="1"/>
  <c r="N23" i="26" l="1"/>
  <c r="N8" i="26"/>
  <c r="N8" i="25"/>
  <c r="N4" i="25"/>
  <c r="N13" i="25"/>
  <c r="N11" i="25"/>
  <c r="N5" i="25"/>
  <c r="O5" i="25" s="1"/>
  <c r="N9" i="25"/>
  <c r="O9" i="25" s="1"/>
  <c r="N6" i="25"/>
  <c r="O6" i="25" s="1"/>
  <c r="N12" i="25"/>
  <c r="O12" i="25" s="1"/>
  <c r="N10" i="25"/>
  <c r="N7" i="25"/>
  <c r="O7" i="25" s="1"/>
  <c r="N15" i="26"/>
  <c r="C24" i="26"/>
  <c r="O8" i="26"/>
  <c r="O15" i="26"/>
  <c r="N18" i="25"/>
  <c r="N14" i="25"/>
  <c r="F42" i="24"/>
  <c r="F44" i="24" s="1"/>
  <c r="F22" i="26" s="1"/>
  <c r="F24" i="26" s="1"/>
  <c r="J39" i="24"/>
  <c r="J42" i="24"/>
  <c r="J44" i="24" s="1"/>
  <c r="J22" i="26" s="1"/>
  <c r="J24" i="26" s="1"/>
  <c r="L39" i="24"/>
  <c r="L42" i="24"/>
  <c r="L44" i="24" s="1"/>
  <c r="L22" i="26" s="1"/>
  <c r="L24" i="26" s="1"/>
  <c r="N17" i="25" l="1"/>
  <c r="N15" i="25"/>
  <c r="N16" i="25"/>
  <c r="O16" i="25" s="1"/>
  <c r="O10" i="25"/>
  <c r="O11" i="25"/>
  <c r="O13" i="25"/>
  <c r="O8" i="25"/>
  <c r="O22" i="26"/>
  <c r="O18" i="25"/>
  <c r="N22" i="26"/>
  <c r="O24" i="26"/>
  <c r="N24" i="26"/>
  <c r="O15" i="25"/>
  <c r="O14" i="25"/>
  <c r="O17" i="25" l="1"/>
  <c r="K40" i="27"/>
  <c r="K34" i="27"/>
  <c r="K36" i="27"/>
  <c r="K35" i="27"/>
  <c r="K38" i="27"/>
  <c r="K39" i="27"/>
  <c r="K37" i="27"/>
  <c r="K33" i="27"/>
  <c r="I39" i="27"/>
  <c r="I33" i="27"/>
  <c r="I35" i="27"/>
  <c r="I40" i="27"/>
  <c r="I34" i="27"/>
  <c r="I37" i="27"/>
  <c r="I36" i="27"/>
  <c r="I38" i="27"/>
  <c r="L40" i="27"/>
  <c r="L34" i="27"/>
  <c r="L36" i="27"/>
  <c r="L35" i="27"/>
  <c r="L37" i="27"/>
  <c r="L38" i="27"/>
  <c r="L39" i="27"/>
  <c r="L33" i="27"/>
  <c r="C36" i="27"/>
  <c r="C37" i="27"/>
  <c r="C38" i="27"/>
  <c r="C40" i="27"/>
  <c r="C34" i="27"/>
  <c r="C33" i="27"/>
  <c r="C39" i="27"/>
  <c r="C35" i="27"/>
  <c r="D36" i="27"/>
  <c r="D39" i="27"/>
  <c r="D37" i="27"/>
  <c r="D38" i="27"/>
  <c r="D33" i="27"/>
  <c r="D40" i="27"/>
  <c r="D34" i="27"/>
  <c r="D35" i="27"/>
  <c r="E39" i="27"/>
  <c r="E37" i="27"/>
  <c r="E33" i="27"/>
  <c r="E38" i="27"/>
  <c r="E35" i="27"/>
  <c r="E40" i="27"/>
  <c r="E36" i="27"/>
  <c r="E34" i="27"/>
  <c r="G38" i="27"/>
  <c r="G40" i="27"/>
  <c r="G34" i="27"/>
  <c r="G39" i="27"/>
  <c r="G33" i="27"/>
  <c r="G36" i="27"/>
  <c r="G37" i="27"/>
  <c r="G35" i="27"/>
  <c r="H38" i="27"/>
  <c r="H34" i="27"/>
  <c r="H35" i="27"/>
  <c r="H39" i="27"/>
  <c r="H33" i="27"/>
  <c r="H40" i="27"/>
  <c r="H36" i="27"/>
  <c r="H37" i="27"/>
  <c r="J39" i="27"/>
  <c r="J33" i="27"/>
  <c r="J36" i="27"/>
  <c r="J40" i="27"/>
  <c r="J34" i="27"/>
  <c r="J35" i="27"/>
  <c r="J37" i="27"/>
  <c r="J38" i="27"/>
  <c r="F37" i="27"/>
  <c r="F34" i="27"/>
  <c r="F40" i="27"/>
  <c r="F38" i="27"/>
  <c r="F39" i="27"/>
  <c r="F33" i="27"/>
  <c r="F35" i="27"/>
  <c r="F36" i="27"/>
  <c r="L21" i="27"/>
  <c r="K21" i="27"/>
  <c r="J21" i="27"/>
  <c r="I21" i="27"/>
  <c r="H21" i="27"/>
  <c r="G21" i="27"/>
  <c r="F21" i="27"/>
  <c r="E21" i="27"/>
  <c r="D21" i="27"/>
  <c r="C21" i="27" l="1"/>
  <c r="I4" i="25"/>
  <c r="I17" i="25" l="1"/>
  <c r="I16" i="25"/>
  <c r="I14" i="25"/>
  <c r="I15" i="25"/>
  <c r="J5" i="25"/>
  <c r="I18" i="25"/>
  <c r="J18" i="25" s="1"/>
  <c r="J16" i="25" l="1"/>
  <c r="J15" i="25"/>
  <c r="J14" i="25"/>
  <c r="J17" i="25"/>
</calcChain>
</file>

<file path=xl/sharedStrings.xml><?xml version="1.0" encoding="utf-8"?>
<sst xmlns="http://schemas.openxmlformats.org/spreadsheetml/2006/main" count="232" uniqueCount="179">
  <si>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</si>
  <si>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</si>
  <si>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</si>
  <si>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</si>
  <si>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</si>
  <si>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</si>
  <si>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</si>
  <si>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</si>
  <si>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</si>
  <si>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</si>
  <si>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</si>
  <si>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</si>
  <si>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</si>
  <si>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</si>
  <si>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</si>
  <si>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</si>
  <si>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</si>
  <si>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</si>
  <si>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</si>
  <si>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</si>
  <si>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</si>
  <si>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</si>
  <si>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</si>
  <si>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</si>
  <si>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</si>
  <si>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</si>
  <si>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</si>
  <si>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</si>
  <si>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</si>
  <si>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</si>
  <si>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</si>
  <si>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</si>
  <si>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TATA CONSULTANCY SERVICES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</si>
  <si>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</si>
  <si>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</si>
  <si>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</si>
  <si>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</si>
  <si>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</si>
  <si>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</si>
  <si>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</si>
  <si>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</si>
  <si>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</si>
  <si>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</si>
  <si>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</si>
  <si>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</si>
  <si>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</si>
  <si>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</si>
  <si>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</si>
  <si>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</si>
  <si>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</si>
  <si>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</si>
  <si>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</si>
  <si>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</si>
  <si>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</si>
  <si>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</si>
  <si>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#</t>
  </si>
  <si>
    <t>-</t>
  </si>
  <si>
    <t>EBITDA</t>
  </si>
  <si>
    <t>Profit from operations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</si>
  <si>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</si>
  <si>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</si>
  <si>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</si>
  <si>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</si>
  <si>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</si>
  <si>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</si>
  <si>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</si>
  <si>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</si>
  <si>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</si>
  <si>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</si>
  <si>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</si>
  <si>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</si>
  <si>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</si>
  <si>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</si>
  <si>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</si>
  <si>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</si>
  <si>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</si>
  <si>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</si>
  <si>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</si>
  <si>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Income Statement</t>
  </si>
  <si>
    <t>COGS</t>
  </si>
  <si>
    <t>EBITDA Margins</t>
  </si>
  <si>
    <t>Interest % Sales</t>
  </si>
  <si>
    <t>Gross Margins</t>
  </si>
  <si>
    <t>Earnings Before Tax</t>
  </si>
  <si>
    <t>EBT % Sales</t>
  </si>
  <si>
    <t>Effective Tax Rate</t>
  </si>
  <si>
    <t>Net Profit</t>
  </si>
  <si>
    <t>Net Margins</t>
  </si>
  <si>
    <t>No of Equity Shares</t>
  </si>
  <si>
    <t>EPS Growth %</t>
  </si>
  <si>
    <t>Retained Earnings</t>
  </si>
  <si>
    <t>Fixed Asset Net Block</t>
  </si>
  <si>
    <t>Total Non Current Assets</t>
  </si>
  <si>
    <t>Total Current Assets</t>
  </si>
  <si>
    <t>Check</t>
  </si>
  <si>
    <t>Cash from Operating Activity -</t>
  </si>
  <si>
    <t>Loans Advances</t>
  </si>
  <si>
    <t>Cash from Investing Activity -</t>
  </si>
  <si>
    <t>Cash from Financing Activity -</t>
  </si>
  <si>
    <t>Cash Flow Statements</t>
  </si>
  <si>
    <t>Operating Activities</t>
  </si>
  <si>
    <t>Sales Growth</t>
  </si>
  <si>
    <t>Total Liabilities</t>
  </si>
  <si>
    <t>Total Assets</t>
  </si>
  <si>
    <t>Total Asset</t>
  </si>
  <si>
    <t>Other Asset</t>
  </si>
  <si>
    <t>Gross Profit</t>
  </si>
  <si>
    <t>COGS % Sales</t>
  </si>
  <si>
    <t>Selling, General and Administrative Expenses</t>
  </si>
  <si>
    <t>SG&amp;A Exp % Sales</t>
  </si>
  <si>
    <t>Depreciation % Sales</t>
  </si>
  <si>
    <t>Earnings Per Share</t>
  </si>
  <si>
    <t>Dividend Per Share</t>
  </si>
  <si>
    <t>Dividend Payout Ratio</t>
  </si>
  <si>
    <t>Balance Sheet</t>
  </si>
  <si>
    <t>Inter corporate deposits</t>
  </si>
  <si>
    <t>Profit from Operations</t>
  </si>
  <si>
    <t>Loan Advances</t>
  </si>
  <si>
    <t>Other WC Items</t>
  </si>
  <si>
    <t>Working Capital Changes</t>
  </si>
  <si>
    <t>Direct Taxes</t>
  </si>
  <si>
    <t>Cash From Operating Activities</t>
  </si>
  <si>
    <t>Investing Activities</t>
  </si>
  <si>
    <t>Fixed Asset Purchased</t>
  </si>
  <si>
    <t>Fixed Asset Sold</t>
  </si>
  <si>
    <t>Investment Purchased</t>
  </si>
  <si>
    <t>Investment Sold</t>
  </si>
  <si>
    <t>Interest Received</t>
  </si>
  <si>
    <t>Dividend Received</t>
  </si>
  <si>
    <t>Acquisition of Companies</t>
  </si>
  <si>
    <t>Inter Corporate Deposits</t>
  </si>
  <si>
    <t>Other Investing Items</t>
  </si>
  <si>
    <t>Cash From Investing Activities</t>
  </si>
  <si>
    <t>Financing Activities</t>
  </si>
  <si>
    <t>Proceeds from Shares</t>
  </si>
  <si>
    <t>Proceeds from Borrowings</t>
  </si>
  <si>
    <t>Repayment of Borrowings</t>
  </si>
  <si>
    <t>Financial Liabilities</t>
  </si>
  <si>
    <t>Dividend Paid</t>
  </si>
  <si>
    <t>Other Financing Items</t>
  </si>
  <si>
    <t>Cash From Financing Activties</t>
  </si>
  <si>
    <t>Year Weight</t>
  </si>
  <si>
    <t>Year</t>
  </si>
  <si>
    <t xml:space="preserve">Sales </t>
  </si>
  <si>
    <t>EBITDA Growth</t>
  </si>
  <si>
    <t>EPS</t>
  </si>
  <si>
    <t>EPS Growth</t>
  </si>
  <si>
    <t>Trend</t>
  </si>
  <si>
    <t>Mean</t>
  </si>
  <si>
    <t>Median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</si>
  <si>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</si>
  <si>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</si>
  <si>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</si>
  <si>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</si>
  <si>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</si>
  <si>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</si>
  <si>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</si>
  <si>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</si>
  <si>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SalesExpense%Sales</t>
  </si>
  <si>
    <t>Depreciation%Sales</t>
  </si>
  <si>
    <t>OperatingIncome%Sales</t>
  </si>
  <si>
    <t xml:space="preserve">Return on Capital Employed </t>
  </si>
  <si>
    <t>Retained Earnings%</t>
  </si>
  <si>
    <t>Self Sustained Growth Rate</t>
  </si>
  <si>
    <t>Interest Coverage Ratio</t>
  </si>
  <si>
    <t>Return on Equity</t>
  </si>
  <si>
    <t xml:space="preserve">Inventory Turnover </t>
  </si>
  <si>
    <t xml:space="preserve">Fixed Asset Turnover </t>
  </si>
  <si>
    <t>Capital Turnover Ratio</t>
  </si>
  <si>
    <t>Debtor Turnover Ratio</t>
  </si>
  <si>
    <t>Creditor Turnover Ratio</t>
  </si>
  <si>
    <t>Debtor Days</t>
  </si>
  <si>
    <t>Payable Days</t>
  </si>
  <si>
    <t>Inventory Days</t>
  </si>
  <si>
    <t>Cash Conversion Cycle (in Days)</t>
  </si>
  <si>
    <t>CFO/Sales</t>
  </si>
  <si>
    <t>CFO/Total Assets</t>
  </si>
  <si>
    <t>CFO/Total Debt</t>
  </si>
  <si>
    <t>Particulars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</si>
</sst>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#,##0.0\);\-"/>
    <numFmt numFmtId="167" formatCode="yyyy&quot;A&quot;"/>
    <numFmt numFmtId="168" formatCode="yyyy&quot;E&quot;"/>
    <numFmt numFmtId="169" formatCode="0.0"/>
    <numFmt numFmtId="170" formatCode="#,##0.0;\(#,##0.0\);\-"/>
    <numFmt numFmtId="171" formatCode="#,##0.0"/>
    <numFmt numFmtId="172" formatCode="0.0%"/>
    <numFmt numFmtId="173" formatCode="&quot;₹&quot;\ #,##0.0"/>
    <numFmt numFmtId="174" formatCode="0.00\x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rgb="FF006666"/>
      </top>
      <bottom style="hair">
        <color rgb="FF006666"/>
      </bottom>
      <diagonal/>
    </border>
    <border>
      <left/>
      <right/>
      <top style="thin">
        <color rgb="FF006666"/>
      </top>
      <bottom style="medium">
        <color rgb="FF006666"/>
      </bottom>
      <diagonal/>
    </border>
    <border>
      <left/>
      <right/>
      <top style="hair">
        <color rgb="FF006666"/>
      </top>
      <bottom/>
      <diagonal/>
    </border>
    <border>
      <left/>
      <right/>
      <top/>
      <bottom style="hair">
        <color rgb="FF006666"/>
      </bottom>
      <diagonal/>
    </border>
    <border>
      <left/>
      <right/>
      <top/>
      <bottom style="thin">
        <color rgb="FF006666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78">
    <xf numFmtId="0" fontId="0" fillId="0" borderId="0" xfId="0"/>
    <xf numFmtId="43" fontId="1" fillId="0" borderId="0" xfId="1" applyFont="1" applyBorder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166" fontId="0" fillId="0" borderId="0" xfId="0" applyNumberFormat="1"/>
    <xf numFmtId="0" fontId="1" fillId="0" borderId="0" xfId="0" applyFont="1"/>
    <xf numFmtId="10" fontId="0" fillId="0" borderId="0" xfId="4" applyNumberFormat="1" applyFont="1"/>
    <xf numFmtId="17" fontId="0" fillId="0" borderId="0" xfId="0" applyNumberFormat="1"/>
    <xf numFmtId="0" fontId="7" fillId="0" borderId="0" xfId="0" applyFont="1"/>
    <xf numFmtId="10" fontId="7" fillId="0" borderId="0" xfId="4" applyNumberFormat="1" applyFont="1"/>
    <xf numFmtId="3" fontId="0" fillId="0" borderId="0" xfId="0" applyNumberFormat="1"/>
    <xf numFmtId="17" fontId="1" fillId="0" borderId="0" xfId="0" applyNumberFormat="1" applyFont="1"/>
    <xf numFmtId="3" fontId="1" fillId="0" borderId="0" xfId="0" applyNumberFormat="1" applyFont="1"/>
    <xf numFmtId="0" fontId="1" fillId="0" borderId="1" xfId="0" applyFont="1" applyBorder="1"/>
    <xf numFmtId="3" fontId="1" fillId="0" borderId="1" xfId="0" applyNumberFormat="1" applyFont="1" applyBorder="1"/>
    <xf numFmtId="0" fontId="2" fillId="4" borderId="0" xfId="0" applyFont="1" applyFill="1"/>
    <xf numFmtId="17" fontId="2" fillId="4" borderId="0" xfId="0" applyNumberFormat="1" applyFont="1" applyFill="1"/>
    <xf numFmtId="0" fontId="2" fillId="5" borderId="0" xfId="0" applyFont="1" applyFill="1"/>
    <xf numFmtId="0" fontId="1" fillId="5" borderId="0" xfId="0" applyFont="1" applyFill="1"/>
    <xf numFmtId="16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0" fontId="7" fillId="0" borderId="0" xfId="4" applyNumberFormat="1" applyFont="1" applyAlignment="1">
      <alignment horizontal="right"/>
    </xf>
    <xf numFmtId="0" fontId="1" fillId="0" borderId="2" xfId="0" applyFont="1" applyBorder="1"/>
    <xf numFmtId="166" fontId="1" fillId="0" borderId="2" xfId="0" applyNumberFormat="1" applyFont="1" applyBorder="1" applyAlignment="1">
      <alignment horizontal="right"/>
    </xf>
    <xf numFmtId="0" fontId="8" fillId="0" borderId="0" xfId="0" applyFont="1"/>
    <xf numFmtId="166" fontId="1" fillId="0" borderId="2" xfId="0" applyNumberFormat="1" applyFont="1" applyBorder="1"/>
    <xf numFmtId="0" fontId="1" fillId="0" borderId="3" xfId="0" applyFont="1" applyBorder="1"/>
    <xf numFmtId="166" fontId="1" fillId="0" borderId="3" xfId="0" applyNumberFormat="1" applyFont="1" applyBorder="1"/>
    <xf numFmtId="43" fontId="1" fillId="0" borderId="0" xfId="0" applyNumberFormat="1" applyFont="1"/>
    <xf numFmtId="0" fontId="2" fillId="6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 applyAlignment="1">
      <alignment horizontal="left"/>
    </xf>
    <xf numFmtId="0" fontId="2" fillId="6" borderId="0" xfId="0" applyFont="1" applyFill="1" applyAlignment="1">
      <alignment horizontal="right"/>
    </xf>
    <xf numFmtId="167" fontId="0" fillId="0" borderId="0" xfId="0" applyNumberFormat="1" applyAlignment="1">
      <alignment horizontal="right"/>
    </xf>
    <xf numFmtId="170" fontId="9" fillId="0" borderId="0" xfId="0" applyNumberFormat="1" applyFont="1" applyAlignment="1">
      <alignment horizontal="right"/>
    </xf>
    <xf numFmtId="10" fontId="0" fillId="0" borderId="0" xfId="4" applyNumberFormat="1" applyFont="1" applyAlignment="1">
      <alignment horizontal="right"/>
    </xf>
    <xf numFmtId="168" fontId="0" fillId="7" borderId="0" xfId="0" applyNumberFormat="1" applyFill="1" applyAlignment="1">
      <alignment horizontal="right"/>
    </xf>
    <xf numFmtId="170" fontId="0" fillId="7" borderId="0" xfId="0" applyNumberFormat="1" applyFill="1" applyAlignment="1">
      <alignment horizontal="right"/>
    </xf>
    <xf numFmtId="10" fontId="0" fillId="7" borderId="0" xfId="4" applyNumberFormat="1" applyFont="1" applyFill="1" applyAlignment="1">
      <alignment horizontal="right"/>
    </xf>
    <xf numFmtId="171" fontId="9" fillId="0" borderId="0" xfId="0" applyNumberFormat="1" applyFont="1" applyAlignment="1">
      <alignment horizontal="right"/>
    </xf>
    <xf numFmtId="167" fontId="0" fillId="7" borderId="0" xfId="0" applyNumberFormat="1" applyFill="1" applyAlignment="1">
      <alignment horizontal="right"/>
    </xf>
    <xf numFmtId="169" fontId="9" fillId="0" borderId="0" xfId="0" applyNumberFormat="1" applyFont="1" applyAlignment="1">
      <alignment horizontal="right"/>
    </xf>
    <xf numFmtId="0" fontId="2" fillId="4" borderId="0" xfId="0" applyFont="1" applyFill="1" applyAlignment="1">
      <alignment horizontal="left"/>
    </xf>
    <xf numFmtId="17" fontId="2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right"/>
    </xf>
    <xf numFmtId="173" fontId="0" fillId="0" borderId="0" xfId="0" applyNumberFormat="1"/>
    <xf numFmtId="10" fontId="0" fillId="0" borderId="0" xfId="4" applyNumberFormat="1" applyFont="1" applyBorder="1" applyAlignment="1">
      <alignment horizontal="right"/>
    </xf>
    <xf numFmtId="0" fontId="0" fillId="0" borderId="4" xfId="0" applyBorder="1" applyAlignment="1">
      <alignment horizontal="left"/>
    </xf>
    <xf numFmtId="10" fontId="0" fillId="0" borderId="4" xfId="0" applyNumberFormat="1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right"/>
    </xf>
    <xf numFmtId="10" fontId="0" fillId="0" borderId="5" xfId="4" applyNumberFormat="1" applyFont="1" applyBorder="1" applyAlignment="1">
      <alignment horizontal="right"/>
    </xf>
    <xf numFmtId="10" fontId="0" fillId="0" borderId="4" xfId="4" applyNumberFormat="1" applyFont="1" applyBorder="1" applyAlignment="1">
      <alignment horizontal="right"/>
    </xf>
    <xf numFmtId="172" fontId="0" fillId="0" borderId="0" xfId="4" applyNumberFormat="1" applyFont="1" applyBorder="1" applyAlignment="1">
      <alignment horizontal="right"/>
    </xf>
    <xf numFmtId="174" fontId="0" fillId="0" borderId="5" xfId="0" applyNumberFormat="1" applyBorder="1" applyAlignment="1">
      <alignment horizontal="right"/>
    </xf>
    <xf numFmtId="174" fontId="0" fillId="0" borderId="4" xfId="0" applyNumberFormat="1" applyBorder="1" applyAlignment="1">
      <alignment horizontal="right"/>
    </xf>
    <xf numFmtId="174" fontId="0" fillId="0" borderId="0" xfId="0" applyNumberFormat="1" applyAlignment="1">
      <alignment horizontal="right"/>
    </xf>
    <xf numFmtId="1" fontId="0" fillId="0" borderId="4" xfId="0" applyNumberFormat="1" applyBorder="1"/>
    <xf numFmtId="1" fontId="0" fillId="0" borderId="0" xfId="0" applyNumberFormat="1"/>
    <xf numFmtId="1" fontId="0" fillId="0" borderId="5" xfId="0" applyNumberFormat="1" applyBorder="1"/>
    <xf numFmtId="10" fontId="0" fillId="0" borderId="4" xfId="4" applyNumberFormat="1" applyFont="1" applyBorder="1"/>
    <xf numFmtId="10" fontId="0" fillId="0" borderId="0" xfId="4" applyNumberFormat="1" applyFont="1" applyBorder="1"/>
    <xf numFmtId="10" fontId="0" fillId="0" borderId="5" xfId="4" applyNumberFormat="1" applyFont="1" applyBorder="1"/>
    <xf numFmtId="0" fontId="0" fillId="0" borderId="4" xfId="0" applyBorder="1" applyAlignment="1">
      <alignment horizontal="right"/>
    </xf>
    <xf numFmtId="0" fontId="1" fillId="0" borderId="6" xfId="0" applyFont="1" applyBorder="1"/>
    <xf numFmtId="17" fontId="1" fillId="0" borderId="6" xfId="0" applyNumberFormat="1" applyFont="1" applyBorder="1"/>
    <xf numFmtId="43" fontId="0" fillId="0" borderId="0" xfId="0" applyNumberFormat="1"/>
    <xf numFmtId="10" fontId="1" fillId="0" borderId="0" xfId="4" applyNumberFormat="1" applyFont="1"/>
    <xf numFmtId="10" fontId="0" fillId="8" borderId="5" xfId="4" applyNumberFormat="1" applyFont="1" applyFill="1" applyBorder="1"/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43" fontId="1" fillId="0" borderId="0" xfId="0" applyNumberFormat="1" applyFont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06666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Sales</a:t>
            </a:r>
            <a:r>
              <a:rPr lang="en-IN" baseline="0"/>
              <a:t> Forecasting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934194444444447"/>
          <c:y val="0.23242175925925926"/>
          <c:w val="0.59321749999999995"/>
          <c:h val="0.443855092592592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Forecasting!$D$3</c:f>
              <c:strCache>
                <c:ptCount val="1"/>
                <c:pt idx="0">
                  <c:v>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25400" algn="bl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numRef>
              <c:f>Forecasting!$B$4:$B$18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Forecasting!$D$4:$D$18</c:f>
              <c:numCache>
                <c:formatCode>#,##0.0;\(#,##0.0\);\-</c:formatCode>
                <c:ptCount val="15"/>
                <c:pt idx="0">
                  <c:v>117966</c:v>
                </c:pt>
                <c:pt idx="1">
                  <c:v>123104</c:v>
                </c:pt>
                <c:pt idx="2">
                  <c:v>146463</c:v>
                </c:pt>
                <c:pt idx="3">
                  <c:v>156949</c:v>
                </c:pt>
                <c:pt idx="4">
                  <c:v>164177</c:v>
                </c:pt>
                <c:pt idx="5">
                  <c:v>191754</c:v>
                </c:pt>
                <c:pt idx="6">
                  <c:v>225458</c:v>
                </c:pt>
                <c:pt idx="7">
                  <c:v>240893</c:v>
                </c:pt>
                <c:pt idx="8">
                  <c:v>255324</c:v>
                </c:pt>
                <c:pt idx="9">
                  <c:v>267021</c:v>
                </c:pt>
                <c:pt idx="10">
                  <c:v>287987.19999999995</c:v>
                </c:pt>
                <c:pt idx="11">
                  <c:v>306001.07272727275</c:v>
                </c:pt>
                <c:pt idx="12">
                  <c:v>324014.94545454544</c:v>
                </c:pt>
                <c:pt idx="13">
                  <c:v>342028.81818181818</c:v>
                </c:pt>
                <c:pt idx="14">
                  <c:v>360042.69090909092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F-4721-957D-0989996BE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614655"/>
        <c:axId val="990603615"/>
      </c:barChart>
      <c:lineChart>
        <c:grouping val="standard"/>
        <c:varyColors val="0"/>
        <c:ser>
          <c:idx val="1"/>
          <c:order val="1"/>
          <c:tx>
            <c:strRef>
              <c:f>Forecasting!$E$3</c:f>
              <c:strCache>
                <c:ptCount val="1"/>
                <c:pt idx="0">
                  <c:v>Sales Growth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50800" dist="25400" algn="bl" rotWithShape="0">
                <a:srgbClr val="000000">
                  <a:alpha val="60000"/>
                </a:srgbClr>
              </a:outerShdw>
            </a:effectLst>
          </c:spPr>
          <c:marker>
            <c:symbol val="none"/>
          </c:marker>
          <c:cat>
            <c:numRef>
              <c:f>Forecasting!$B$4:$B$18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Forecasting!$E$4:$E$18</c:f>
              <c:numCache>
                <c:formatCode>0.00%</c:formatCode>
                <c:ptCount val="15"/>
                <c:pt idx="1">
                  <c:v>4.3554922604818413E-2</c:v>
                </c:pt>
                <c:pt idx="2">
                  <c:v>0.18975012997140639</c:v>
                </c:pt>
                <c:pt idx="3">
                  <c:v>7.1594873790650215E-2</c:v>
                </c:pt>
                <c:pt idx="4">
                  <c:v>4.6053176509566862E-2</c:v>
                </c:pt>
                <c:pt idx="5">
                  <c:v>0.1679711530847805</c:v>
                </c:pt>
                <c:pt idx="6">
                  <c:v>0.17576686796624852</c:v>
                </c:pt>
                <c:pt idx="7">
                  <c:v>6.8460644554639849E-2</c:v>
                </c:pt>
                <c:pt idx="8">
                  <c:v>5.9906265437351891E-2</c:v>
                </c:pt>
                <c:pt idx="9">
                  <c:v>4.581237956478823E-2</c:v>
                </c:pt>
                <c:pt idx="10">
                  <c:v>7.8518917987723702E-2</c:v>
                </c:pt>
                <c:pt idx="11">
                  <c:v>6.2550949234107645E-2</c:v>
                </c:pt>
                <c:pt idx="12">
                  <c:v>5.8868658749205771E-2</c:v>
                </c:pt>
                <c:pt idx="13">
                  <c:v>5.5595808094598631E-2</c:v>
                </c:pt>
                <c:pt idx="14">
                  <c:v>5.2667704502305401E-2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0F-4721-957D-0989996BE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602655"/>
        <c:axId val="990597855"/>
      </c:lineChart>
      <c:catAx>
        <c:axId val="990614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03615"/>
        <c:crosses val="autoZero"/>
        <c:auto val="1"/>
        <c:lblAlgn val="ctr"/>
        <c:lblOffset val="100"/>
        <c:noMultiLvlLbl val="0"/>
      </c:catAx>
      <c:valAx>
        <c:axId val="99060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14655"/>
        <c:crosses val="autoZero"/>
        <c:crossBetween val="between"/>
      </c:valAx>
      <c:valAx>
        <c:axId val="990597855"/>
        <c:scaling>
          <c:orientation val="minMax"/>
        </c:scaling>
        <c:delete val="0"/>
        <c:axPos val="r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02655"/>
        <c:crosses val="max"/>
        <c:crossBetween val="between"/>
      </c:valAx>
      <c:catAx>
        <c:axId val="990602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5978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EBITDA Forecasting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934194444444447"/>
          <c:y val="0.23242175925925926"/>
          <c:w val="0.59321749999999995"/>
          <c:h val="0.455614351851851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Forecasting!$I$3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25400" algn="bl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numRef>
              <c:f>Forecasting!$G$4:$G$18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Forecasting!$I$4:$I$18</c:f>
              <c:numCache>
                <c:formatCode>#,##0.0</c:formatCode>
                <c:ptCount val="15"/>
                <c:pt idx="0">
                  <c:v>36464</c:v>
                </c:pt>
                <c:pt idx="1">
                  <c:v>36104</c:v>
                </c:pt>
                <c:pt idx="2">
                  <c:v>43727</c:v>
                </c:pt>
                <c:pt idx="3">
                  <c:v>46594</c:v>
                </c:pt>
                <c:pt idx="4">
                  <c:v>48330</c:v>
                </c:pt>
                <c:pt idx="5">
                  <c:v>56953</c:v>
                </c:pt>
                <c:pt idx="6">
                  <c:v>62552</c:v>
                </c:pt>
                <c:pt idx="7">
                  <c:v>67569</c:v>
                </c:pt>
                <c:pt idx="8">
                  <c:v>71125</c:v>
                </c:pt>
                <c:pt idx="9">
                  <c:v>72030</c:v>
                </c:pt>
                <c:pt idx="10" formatCode="#,##0.0;\(#,##0.0\);\-">
                  <c:v>78843.06666666668</c:v>
                </c:pt>
                <c:pt idx="11" formatCode="#,##0.0;\(#,##0.0\);\-">
                  <c:v>83333.660606060614</c:v>
                </c:pt>
                <c:pt idx="12" formatCode="#,##0.0;\(#,##0.0\);\-">
                  <c:v>87824.254545454547</c:v>
                </c:pt>
                <c:pt idx="13" formatCode="#,##0.0;\(#,##0.0\);\-">
                  <c:v>92314.84848484848</c:v>
                </c:pt>
                <c:pt idx="14" formatCode="#,##0.0;\(#,##0.0\);\-">
                  <c:v>96805.442424242443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E-4FB8-9C24-C484E509C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9299375"/>
        <c:axId val="979306095"/>
      </c:barChart>
      <c:lineChart>
        <c:grouping val="standard"/>
        <c:varyColors val="0"/>
        <c:ser>
          <c:idx val="1"/>
          <c:order val="1"/>
          <c:tx>
            <c:strRef>
              <c:f>Forecasting!$J$3</c:f>
              <c:strCache>
                <c:ptCount val="1"/>
                <c:pt idx="0">
                  <c:v>EBITDA Growth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50800" dist="25400" algn="bl" rotWithShape="0">
                <a:srgbClr val="000000">
                  <a:alpha val="60000"/>
                </a:srgbClr>
              </a:outerShdw>
            </a:effectLst>
          </c:spPr>
          <c:marker>
            <c:symbol val="none"/>
          </c:marker>
          <c:cat>
            <c:numRef>
              <c:f>Forecasting!$G$4:$G$18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Forecasting!$J$4:$J$18</c:f>
              <c:numCache>
                <c:formatCode>0.00%</c:formatCode>
                <c:ptCount val="15"/>
                <c:pt idx="1">
                  <c:v>-9.8727512066696388E-3</c:v>
                </c:pt>
                <c:pt idx="2">
                  <c:v>0.21114003988477736</c:v>
                </c:pt>
                <c:pt idx="3">
                  <c:v>6.5565897500400316E-2</c:v>
                </c:pt>
                <c:pt idx="4">
                  <c:v>3.7258016053569154E-2</c:v>
                </c:pt>
                <c:pt idx="5">
                  <c:v>0.17841920132422917</c:v>
                </c:pt>
                <c:pt idx="6">
                  <c:v>9.8309132091373597E-2</c:v>
                </c:pt>
                <c:pt idx="7">
                  <c:v>8.0205269216012232E-2</c:v>
                </c:pt>
                <c:pt idx="8">
                  <c:v>5.2627684293093058E-2</c:v>
                </c:pt>
                <c:pt idx="9">
                  <c:v>1.2724077328646777E-2</c:v>
                </c:pt>
                <c:pt idx="10">
                  <c:v>9.4586514878060246E-2</c:v>
                </c:pt>
                <c:pt idx="11">
                  <c:v>5.6956104439459532E-2</c:v>
                </c:pt>
                <c:pt idx="12">
                  <c:v>5.3886915644113076E-2</c:v>
                </c:pt>
                <c:pt idx="13">
                  <c:v>5.1131591866456105E-2</c:v>
                </c:pt>
                <c:pt idx="14">
                  <c:v>4.8644329846146084E-2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2E-4FB8-9C24-C484E509C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301775"/>
        <c:axId val="979312815"/>
      </c:lineChart>
      <c:catAx>
        <c:axId val="979299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306095"/>
        <c:crosses val="autoZero"/>
        <c:auto val="1"/>
        <c:lblAlgn val="ctr"/>
        <c:lblOffset val="100"/>
        <c:noMultiLvlLbl val="0"/>
      </c:catAx>
      <c:valAx>
        <c:axId val="97930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EBITDA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299375"/>
        <c:crosses val="autoZero"/>
        <c:crossBetween val="between"/>
      </c:valAx>
      <c:valAx>
        <c:axId val="979312815"/>
        <c:scaling>
          <c:orientation val="minMax"/>
        </c:scaling>
        <c:delete val="0"/>
        <c:axPos val="r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301775"/>
        <c:crosses val="max"/>
        <c:crossBetween val="between"/>
      </c:valAx>
      <c:catAx>
        <c:axId val="9793017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93128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EPS Forecasting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524194444444445"/>
          <c:y val="0.23242175925925926"/>
          <c:w val="0.6573175"/>
          <c:h val="0.437975462962962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Forecasting!$N$3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25400" algn="bl" rotWithShape="0">
                <a:srgbClr val="000000">
                  <a:alpha val="60000"/>
                </a:srgbClr>
              </a:outerShdw>
            </a:effectLst>
          </c:spPr>
          <c:invertIfNegative val="0"/>
          <c:cat>
            <c:numRef>
              <c:f>Forecasting!$L$4:$L$18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Forecasting!$N$4:$N$18</c:f>
              <c:numCache>
                <c:formatCode>0.0</c:formatCode>
                <c:ptCount val="15"/>
                <c:pt idx="0">
                  <c:v>56.405897130097188</c:v>
                </c:pt>
                <c:pt idx="1">
                  <c:v>58.308520085670999</c:v>
                </c:pt>
                <c:pt idx="2">
                  <c:v>72.72945314998401</c:v>
                </c:pt>
                <c:pt idx="3">
                  <c:v>74.280460505276622</c:v>
                </c:pt>
                <c:pt idx="4">
                  <c:v>82.885026087426667</c:v>
                </c:pt>
                <c:pt idx="5">
                  <c:v>94.176163537481884</c:v>
                </c:pt>
                <c:pt idx="6">
                  <c:v>106.28569866907162</c:v>
                </c:pt>
                <c:pt idx="7">
                  <c:v>117.95417484314972</c:v>
                </c:pt>
                <c:pt idx="8">
                  <c:v>124.05406152400431</c:v>
                </c:pt>
                <c:pt idx="9">
                  <c:v>137.14656864099942</c:v>
                </c:pt>
                <c:pt idx="10" formatCode="#,##0.0;\(#,##0.0\);\-">
                  <c:v>143.0997788864403</c:v>
                </c:pt>
                <c:pt idx="11" formatCode="#,##0.0;\(#,##0.0\);\-">
                  <c:v>152.31381097173559</c:v>
                </c:pt>
                <c:pt idx="12" formatCode="#,##0.0;\(#,##0.0\);\-">
                  <c:v>161.52784305703088</c:v>
                </c:pt>
                <c:pt idx="13" formatCode="#,##0.0;\(#,##0.0\);\-">
                  <c:v>170.74187514232614</c:v>
                </c:pt>
                <c:pt idx="14" formatCode="#,##0.0;\(#,##0.0\);\-">
                  <c:v>179.95590722762142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7-4EA6-A471-EBB8DE86C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9551199"/>
        <c:axId val="1339543999"/>
      </c:barChart>
      <c:lineChart>
        <c:grouping val="standard"/>
        <c:varyColors val="0"/>
        <c:ser>
          <c:idx val="1"/>
          <c:order val="1"/>
          <c:tx>
            <c:strRef>
              <c:f>Forecasting!$O$3</c:f>
              <c:strCache>
                <c:ptCount val="1"/>
                <c:pt idx="0">
                  <c:v>EPS Growth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50800" dist="25400" algn="bl" rotWithShape="0">
                <a:srgbClr val="000000">
                  <a:alpha val="60000"/>
                </a:srgbClr>
              </a:outerShdw>
            </a:effectLst>
          </c:spPr>
          <c:marker>
            <c:symbol val="none"/>
          </c:marker>
          <c:cat>
            <c:numRef>
              <c:f>Forecasting!$L$4:$L$18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Forecasting!$O$4:$O$18</c:f>
              <c:numCache>
                <c:formatCode>0.00%</c:formatCode>
                <c:ptCount val="15"/>
                <c:pt idx="1">
                  <c:v>3.3730922693872012E-2</c:v>
                </c:pt>
                <c:pt idx="2">
                  <c:v>0.24732119839647382</c:v>
                </c:pt>
                <c:pt idx="3">
                  <c:v>2.1325711773112044E-2</c:v>
                </c:pt>
                <c:pt idx="4">
                  <c:v>0.11583888311433932</c:v>
                </c:pt>
                <c:pt idx="5">
                  <c:v>0.13622650535387892</c:v>
                </c:pt>
                <c:pt idx="6">
                  <c:v>0.12858386535113175</c:v>
                </c:pt>
                <c:pt idx="7">
                  <c:v>0.10978406615558645</c:v>
                </c:pt>
                <c:pt idx="8">
                  <c:v>5.1714038006420271E-2</c:v>
                </c:pt>
                <c:pt idx="9">
                  <c:v>0.10553872203903403</c:v>
                </c:pt>
                <c:pt idx="10">
                  <c:v>4.3407649964792405E-2</c:v>
                </c:pt>
                <c:pt idx="11">
                  <c:v>6.4388863190398604E-2</c:v>
                </c:pt>
                <c:pt idx="12">
                  <c:v>6.0493740039142763E-2</c:v>
                </c:pt>
                <c:pt idx="13">
                  <c:v>5.7042995875590696E-2</c:v>
                </c:pt>
                <c:pt idx="14">
                  <c:v>5.3964688378962178E-2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A7-4EA6-A471-EBB8DE86C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9547839"/>
        <c:axId val="1339546879"/>
      </c:lineChart>
      <c:catAx>
        <c:axId val="1339551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 Weight</a:t>
                </a:r>
              </a:p>
            </c:rich>
          </c:tx>
          <c:layout>
            <c:manualLayout>
              <c:xMode val="edge"/>
              <c:yMode val="edge"/>
              <c:x val="0.45343333333333324"/>
              <c:y val="0.78327592592592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543999"/>
        <c:crosses val="autoZero"/>
        <c:auto val="1"/>
        <c:lblAlgn val="ctr"/>
        <c:lblOffset val="100"/>
        <c:noMultiLvlLbl val="0"/>
      </c:catAx>
      <c:valAx>
        <c:axId val="13395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551199"/>
        <c:crosses val="autoZero"/>
        <c:crossBetween val="between"/>
      </c:valAx>
      <c:valAx>
        <c:axId val="1339546879"/>
        <c:scaling>
          <c:orientation val="minMax"/>
        </c:scaling>
        <c:delete val="0"/>
        <c:axPos val="r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547839"/>
        <c:crosses val="max"/>
        <c:crossBetween val="between"/>
      </c:valAx>
      <c:catAx>
        <c:axId val="1339547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9546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19</xdr:row>
      <xdr:rowOff>87630</xdr:rowOff>
    </xdr:from>
    <xdr:to>
      <xdr:col>4</xdr:col>
      <xdr:colOff>948240</xdr:colOff>
      <xdr:row>31</xdr:row>
      <xdr:rowOff>53070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84DD7A-530B-E5B9-E6E7-B8D0DC584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80010</xdr:rowOff>
    </xdr:from>
    <xdr:to>
      <xdr:col>9</xdr:col>
      <xdr:colOff>719640</xdr:colOff>
      <xdr:row>31</xdr:row>
      <xdr:rowOff>45450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9B22E8-2D35-9FB9-EA73-4F5CB84A5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601980</xdr:colOff>
      <xdr:row>19</xdr:row>
      <xdr:rowOff>87630</xdr:rowOff>
    </xdr:from>
    <xdr:to>
      <xdr:col>15</xdr:col>
      <xdr:colOff>117660</xdr:colOff>
      <xdr:row>31</xdr:row>
      <xdr:rowOff>53070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C9973E-A84B-F608-51B3-091E5D715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19C4-41B9-455A-AD2F-C21C2A6A5998}">
  <sheetPr>
    <tabColor rgb="FF0070C0"/>
  </sheetPr>
  <dimension ref="A1"/>
  <sheetViews>
    <sheetView workbookViewId="0">
      <selection activeCell="I20" sqref="I20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35CF-DDA4-4041-AF0C-AC79B1CDBB32}">
  <dimension ref="A2:U102"/>
  <sheetViews>
    <sheetView showGridLines="0" workbookViewId="0">
      <pane ySplit="3" topLeftCell="A4" activePane="bottomLeft" state="frozen"/>
      <selection pane="bottomLeft" activeCell="L15" sqref="L15"/>
    </sheetView>
  </sheetViews>
  <sheetFormatPr defaultRowHeight="14.4" x14ac:dyDescent="0.3"/>
  <cols>
    <col min="1" max="1" width="1.88671875" customWidth="1"/>
    <col min="2" max="2" width="37.44140625" bestFit="1" customWidth="1"/>
    <col min="3" max="4" width="12" bestFit="1" customWidth="1"/>
    <col min="5" max="8" width="11.33203125" bestFit="1" customWidth="1"/>
    <col min="9" max="9" width="11.77734375" bestFit="1" customWidth="1"/>
    <col min="10" max="12" width="12" bestFit="1" customWidth="1"/>
    <col min="13" max="13" width="10.88671875" bestFit="1" customWidth="1"/>
    <col min="15" max="21" width="9.44140625" bestFit="1" customWidth="1"/>
  </cols>
  <sheetData>
    <row r="2" spans="1:12" x14ac:dyDescent="0.3">
      <c r="B2" s="73" t="str">
        <f>"Historical Financial Statements - "&amp;'Data Sheet'!B1</f>
        <v>Historical Financial Statements - TATA CONSULTANCY SERVICES LTD</v>
      </c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2" x14ac:dyDescent="0.3">
      <c r="B3" s="19" t="s">
        <v>54</v>
      </c>
      <c r="C3" s="20">
        <f>'Data Sheet'!B16</f>
        <v>42825</v>
      </c>
      <c r="D3" s="20">
        <f>'Data Sheet'!C16</f>
        <v>43190</v>
      </c>
      <c r="E3" s="20">
        <f>'Data Sheet'!D16</f>
        <v>43555</v>
      </c>
      <c r="F3" s="20">
        <f>'Data Sheet'!E16</f>
        <v>43921</v>
      </c>
      <c r="G3" s="20">
        <f>'Data Sheet'!F16</f>
        <v>44286</v>
      </c>
      <c r="H3" s="20">
        <f>'Data Sheet'!G16</f>
        <v>44651</v>
      </c>
      <c r="I3" s="20">
        <f>'Data Sheet'!H16</f>
        <v>45016</v>
      </c>
      <c r="J3" s="20">
        <f>'Data Sheet'!I16</f>
        <v>45382</v>
      </c>
      <c r="K3" s="20">
        <f>'Data Sheet'!J16</f>
        <v>45747</v>
      </c>
      <c r="L3" s="20">
        <f>'Data Sheet'!K16</f>
        <v>46112</v>
      </c>
    </row>
    <row r="5" spans="1:12" x14ac:dyDescent="0.3">
      <c r="A5" s="9" t="s">
        <v>55</v>
      </c>
      <c r="B5" s="22" t="s">
        <v>78</v>
      </c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x14ac:dyDescent="0.3">
      <c r="B6" t="s">
        <v>1</v>
      </c>
      <c r="C6" s="23">
        <f>IFERROR('Data Sheet'!B17,0)</f>
        <v>117966</v>
      </c>
      <c r="D6" s="23">
        <f>IFERROR('Data Sheet'!C17,0)</f>
        <v>123104</v>
      </c>
      <c r="E6" s="23">
        <f>IFERROR('Data Sheet'!D17,0)</f>
        <v>146463</v>
      </c>
      <c r="F6" s="23">
        <f>IFERROR('Data Sheet'!E17,0)</f>
        <v>156949</v>
      </c>
      <c r="G6" s="23">
        <f>IFERROR('Data Sheet'!F17,0)</f>
        <v>164177</v>
      </c>
      <c r="H6" s="23">
        <f>IFERROR('Data Sheet'!G17,0)</f>
        <v>191754</v>
      </c>
      <c r="I6" s="23">
        <f>IFERROR('Data Sheet'!H17,0)</f>
        <v>225458</v>
      </c>
      <c r="J6" s="23">
        <f>IFERROR('Data Sheet'!I17,0)</f>
        <v>240893</v>
      </c>
      <c r="K6" s="23">
        <f>IFERROR('Data Sheet'!J17,0)</f>
        <v>255324</v>
      </c>
      <c r="L6" s="23">
        <f>IFERROR('Data Sheet'!K17,0)</f>
        <v>267021</v>
      </c>
    </row>
    <row r="7" spans="1:12" x14ac:dyDescent="0.3">
      <c r="B7" s="12" t="s">
        <v>101</v>
      </c>
      <c r="C7" s="25" t="s">
        <v>56</v>
      </c>
      <c r="D7" s="25">
        <f>IFERROR((D6/C6-1),0)</f>
        <v>4.3554922604818413E-2</v>
      </c>
      <c r="E7" s="25">
        <f t="shared" ref="E7:L7" si="0">IFERROR((E6/D6-1),0)</f>
        <v>0.18975012997140639</v>
      </c>
      <c r="F7" s="25">
        <f t="shared" si="0"/>
        <v>7.1594873790650215E-2</v>
      </c>
      <c r="G7" s="25">
        <f t="shared" si="0"/>
        <v>4.6053176509566862E-2</v>
      </c>
      <c r="H7" s="25">
        <f t="shared" si="0"/>
        <v>0.1679711530847805</v>
      </c>
      <c r="I7" s="25">
        <f t="shared" si="0"/>
        <v>0.17576686796624852</v>
      </c>
      <c r="J7" s="25">
        <f t="shared" si="0"/>
        <v>6.8460644554639849E-2</v>
      </c>
      <c r="K7" s="25">
        <f t="shared" si="0"/>
        <v>5.9906265437351891E-2</v>
      </c>
      <c r="L7" s="25">
        <f t="shared" si="0"/>
        <v>4.581237956478823E-2</v>
      </c>
    </row>
    <row r="8" spans="1:12" x14ac:dyDescent="0.3"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2" x14ac:dyDescent="0.3">
      <c r="B9" t="s">
        <v>79</v>
      </c>
      <c r="C9" s="23">
        <f>'Data Sheet'!B21+'Data Sheet'!B22</f>
        <v>64336</v>
      </c>
      <c r="D9" s="23">
        <f>'Data Sheet'!C21+'Data Sheet'!C22</f>
        <v>69010</v>
      </c>
      <c r="E9" s="23">
        <f>'Data Sheet'!D21+'Data Sheet'!D22</f>
        <v>80476</v>
      </c>
      <c r="F9" s="23">
        <f>'Data Sheet'!E21+'Data Sheet'!E22</f>
        <v>87839</v>
      </c>
      <c r="G9" s="23">
        <f>'Data Sheet'!F21+'Data Sheet'!F22</f>
        <v>93262</v>
      </c>
      <c r="H9" s="23">
        <f>'Data Sheet'!G21+'Data Sheet'!G22</f>
        <v>108688</v>
      </c>
      <c r="I9" s="23">
        <f>'Data Sheet'!H21+'Data Sheet'!H22</f>
        <v>129366</v>
      </c>
      <c r="J9" s="23">
        <f>'Data Sheet'!I21+'Data Sheet'!I22</f>
        <v>143791</v>
      </c>
      <c r="K9" s="23">
        <f>'Data Sheet'!J21+'Data Sheet'!J22</f>
        <v>157387</v>
      </c>
      <c r="L9" s="23">
        <f>'Data Sheet'!K21+'Data Sheet'!K22</f>
        <v>159350</v>
      </c>
    </row>
    <row r="10" spans="1:12" x14ac:dyDescent="0.3">
      <c r="B10" s="12" t="s">
        <v>107</v>
      </c>
      <c r="C10" s="25">
        <f>IFERROR((C9/C6),0)</f>
        <v>0.5453774816472543</v>
      </c>
      <c r="D10" s="25">
        <f t="shared" ref="D10:L10" si="1">IFERROR((D9/D6),0)</f>
        <v>0.56058292175721336</v>
      </c>
      <c r="E10" s="25">
        <f t="shared" si="1"/>
        <v>0.54946300430825534</v>
      </c>
      <c r="F10" s="25">
        <f t="shared" si="1"/>
        <v>0.55966587872493612</v>
      </c>
      <c r="G10" s="25">
        <f t="shared" si="1"/>
        <v>0.56805764510254175</v>
      </c>
      <c r="H10" s="25">
        <f t="shared" si="1"/>
        <v>0.56680955807962285</v>
      </c>
      <c r="I10" s="25">
        <f t="shared" si="1"/>
        <v>0.57379201447719752</v>
      </c>
      <c r="J10" s="25">
        <f t="shared" si="1"/>
        <v>0.5969081708476377</v>
      </c>
      <c r="K10" s="25">
        <f t="shared" si="1"/>
        <v>0.61642070467327792</v>
      </c>
      <c r="L10" s="25">
        <f t="shared" si="1"/>
        <v>0.59676954247044245</v>
      </c>
    </row>
    <row r="11" spans="1:12" x14ac:dyDescent="0.3">
      <c r="C11" s="24"/>
      <c r="D11" s="24"/>
      <c r="E11" s="24"/>
      <c r="F11" s="24"/>
      <c r="G11" s="24"/>
      <c r="H11" s="24"/>
      <c r="I11" s="24"/>
      <c r="J11" s="24"/>
      <c r="K11" s="24"/>
      <c r="L11" s="24"/>
    </row>
    <row r="12" spans="1:12" x14ac:dyDescent="0.3">
      <c r="B12" s="26" t="s">
        <v>106</v>
      </c>
      <c r="C12" s="27">
        <f>IFERROR((C6-C9),0)</f>
        <v>53630</v>
      </c>
      <c r="D12" s="27">
        <f t="shared" ref="D12:L12" si="2">IFERROR((D6-D9),0)</f>
        <v>54094</v>
      </c>
      <c r="E12" s="27">
        <f t="shared" si="2"/>
        <v>65987</v>
      </c>
      <c r="F12" s="27">
        <f t="shared" si="2"/>
        <v>69110</v>
      </c>
      <c r="G12" s="27">
        <f t="shared" si="2"/>
        <v>70915</v>
      </c>
      <c r="H12" s="27">
        <f t="shared" si="2"/>
        <v>83066</v>
      </c>
      <c r="I12" s="27">
        <f t="shared" si="2"/>
        <v>96092</v>
      </c>
      <c r="J12" s="27">
        <f t="shared" si="2"/>
        <v>97102</v>
      </c>
      <c r="K12" s="27">
        <f t="shared" si="2"/>
        <v>97937</v>
      </c>
      <c r="L12" s="27">
        <f t="shared" si="2"/>
        <v>107671</v>
      </c>
    </row>
    <row r="13" spans="1:12" x14ac:dyDescent="0.3">
      <c r="B13" s="12" t="s">
        <v>82</v>
      </c>
      <c r="C13" s="25">
        <f>IFERROR((C12/C6),0)</f>
        <v>0.4546225183527457</v>
      </c>
      <c r="D13" s="25">
        <f t="shared" ref="D13:L13" si="3">IFERROR((D12/D6),0)</f>
        <v>0.43941707824278659</v>
      </c>
      <c r="E13" s="25">
        <f t="shared" si="3"/>
        <v>0.45053699569174466</v>
      </c>
      <c r="F13" s="25">
        <f t="shared" si="3"/>
        <v>0.44033412127506388</v>
      </c>
      <c r="G13" s="25">
        <f t="shared" si="3"/>
        <v>0.43194235489745825</v>
      </c>
      <c r="H13" s="25">
        <f t="shared" si="3"/>
        <v>0.43319044192037715</v>
      </c>
      <c r="I13" s="25">
        <f t="shared" si="3"/>
        <v>0.42620798552280248</v>
      </c>
      <c r="J13" s="25">
        <f t="shared" si="3"/>
        <v>0.40309182915236225</v>
      </c>
      <c r="K13" s="25">
        <f t="shared" si="3"/>
        <v>0.38357929532672214</v>
      </c>
      <c r="L13" s="25">
        <f t="shared" si="3"/>
        <v>0.40323045752955761</v>
      </c>
    </row>
    <row r="15" spans="1:12" x14ac:dyDescent="0.3">
      <c r="B15" t="s">
        <v>108</v>
      </c>
      <c r="C15" s="23">
        <f>IFERROR(('Data Sheet'!B23+'Data Sheet'!B24),0)</f>
        <v>21226</v>
      </c>
      <c r="D15" s="23">
        <f>IFERROR(('Data Sheet'!C23+'Data Sheet'!C24),0)</f>
        <v>21492</v>
      </c>
      <c r="E15" s="23">
        <f>IFERROR(('Data Sheet'!D23+'Data Sheet'!D24),0)</f>
        <v>26441</v>
      </c>
      <c r="F15" s="23">
        <f>IFERROR(('Data Sheet'!E23+'Data Sheet'!E24),0)</f>
        <v>26983</v>
      </c>
      <c r="G15" s="23">
        <f>IFERROR(('Data Sheet'!F23+'Data Sheet'!F24),0)</f>
        <v>24355</v>
      </c>
      <c r="H15" s="23">
        <f>IFERROR(('Data Sheet'!G23+'Data Sheet'!G24),0)</f>
        <v>29980</v>
      </c>
      <c r="I15" s="23">
        <f>IFERROR(('Data Sheet'!H23+'Data Sheet'!H24),0)</f>
        <v>36796</v>
      </c>
      <c r="J15" s="23">
        <f>IFERROR(('Data Sheet'!I23+'Data Sheet'!I24),0)</f>
        <v>32764</v>
      </c>
      <c r="K15" s="23">
        <f>IFERROR(('Data Sheet'!J23+'Data Sheet'!J24),0)</f>
        <v>30481</v>
      </c>
      <c r="L15" s="23">
        <f>IFERROR(('Data Sheet'!K23+'Data Sheet'!K24),0)</f>
        <v>35230</v>
      </c>
    </row>
    <row r="16" spans="1:12" x14ac:dyDescent="0.3">
      <c r="B16" s="12" t="s">
        <v>109</v>
      </c>
      <c r="C16" s="13">
        <f>IFERROR((C15/C6),0)</f>
        <v>0.17993320109184002</v>
      </c>
      <c r="D16" s="13">
        <f t="shared" ref="D16:L16" si="4">IFERROR((D15/D6),0)</f>
        <v>0.17458409149987003</v>
      </c>
      <c r="E16" s="13">
        <f t="shared" si="4"/>
        <v>0.18053023630541501</v>
      </c>
      <c r="F16" s="13">
        <f t="shared" si="4"/>
        <v>0.17192208934112355</v>
      </c>
      <c r="G16" s="13">
        <f t="shared" si="4"/>
        <v>0.14834599243499394</v>
      </c>
      <c r="H16" s="13">
        <f t="shared" si="4"/>
        <v>0.15634615184037881</v>
      </c>
      <c r="I16" s="13">
        <f t="shared" si="4"/>
        <v>0.16320556378571618</v>
      </c>
      <c r="J16" s="13">
        <f t="shared" si="4"/>
        <v>0.13601059391514075</v>
      </c>
      <c r="K16" s="13">
        <f t="shared" si="4"/>
        <v>0.11938164841534678</v>
      </c>
      <c r="L16" s="13">
        <f t="shared" si="4"/>
        <v>0.13193718846083266</v>
      </c>
    </row>
    <row r="18" spans="2:21" x14ac:dyDescent="0.3">
      <c r="B18" s="26" t="s">
        <v>57</v>
      </c>
      <c r="C18" s="27">
        <f>IFERROR((C12-C15),0)</f>
        <v>32404</v>
      </c>
      <c r="D18" s="27">
        <f t="shared" ref="D18:L18" si="5">IFERROR((D12-D15),0)</f>
        <v>32602</v>
      </c>
      <c r="E18" s="27">
        <f t="shared" si="5"/>
        <v>39546</v>
      </c>
      <c r="F18" s="27">
        <f t="shared" si="5"/>
        <v>42127</v>
      </c>
      <c r="G18" s="27">
        <f t="shared" si="5"/>
        <v>46560</v>
      </c>
      <c r="H18" s="27">
        <f t="shared" si="5"/>
        <v>53086</v>
      </c>
      <c r="I18" s="27">
        <f t="shared" si="5"/>
        <v>59296</v>
      </c>
      <c r="J18" s="27">
        <f t="shared" si="5"/>
        <v>64338</v>
      </c>
      <c r="K18" s="27">
        <f t="shared" si="5"/>
        <v>67456</v>
      </c>
      <c r="L18" s="27">
        <f t="shared" si="5"/>
        <v>72441</v>
      </c>
    </row>
    <row r="19" spans="2:21" x14ac:dyDescent="0.3">
      <c r="B19" s="12" t="s">
        <v>80</v>
      </c>
      <c r="C19" s="13">
        <f>IFERROR((C18/C6),0)</f>
        <v>0.27468931726090567</v>
      </c>
      <c r="D19" s="13">
        <f t="shared" ref="D19:L19" si="6">IFERROR((D18/D6),0)</f>
        <v>0.26483298674291655</v>
      </c>
      <c r="E19" s="13">
        <f t="shared" si="6"/>
        <v>0.27000675938632968</v>
      </c>
      <c r="F19" s="13">
        <f t="shared" si="6"/>
        <v>0.26841203193394031</v>
      </c>
      <c r="G19" s="13">
        <f t="shared" si="6"/>
        <v>0.28359636246246428</v>
      </c>
      <c r="H19" s="13">
        <f t="shared" si="6"/>
        <v>0.27684429007999833</v>
      </c>
      <c r="I19" s="13">
        <f t="shared" si="6"/>
        <v>0.26300242173708627</v>
      </c>
      <c r="J19" s="13">
        <f t="shared" si="6"/>
        <v>0.26708123523722149</v>
      </c>
      <c r="K19" s="13">
        <f t="shared" si="6"/>
        <v>0.26419764691137537</v>
      </c>
      <c r="L19" s="13">
        <f t="shared" si="6"/>
        <v>0.27129326906872492</v>
      </c>
    </row>
    <row r="21" spans="2:21" x14ac:dyDescent="0.3">
      <c r="B21" t="s">
        <v>6</v>
      </c>
      <c r="C21" s="23">
        <f>IFERROR('Data Sheet'!B27,0)</f>
        <v>32</v>
      </c>
      <c r="D21" s="23">
        <f>IFERROR('Data Sheet'!C27,0)</f>
        <v>52</v>
      </c>
      <c r="E21" s="23">
        <f>IFERROR('Data Sheet'!D27,0)</f>
        <v>198</v>
      </c>
      <c r="F21" s="23">
        <f>IFERROR('Data Sheet'!E27,0)</f>
        <v>924</v>
      </c>
      <c r="G21" s="23">
        <f>IFERROR('Data Sheet'!F27,0)</f>
        <v>637</v>
      </c>
      <c r="H21" s="23">
        <f>IFERROR('Data Sheet'!G27,0)</f>
        <v>784</v>
      </c>
      <c r="I21" s="23">
        <f>IFERROR('Data Sheet'!H27,0)</f>
        <v>779</v>
      </c>
      <c r="J21" s="23">
        <f>IFERROR('Data Sheet'!I27,0)</f>
        <v>778</v>
      </c>
      <c r="K21" s="23">
        <f>IFERROR('Data Sheet'!J27,0)</f>
        <v>796</v>
      </c>
      <c r="L21" s="23">
        <f>IFERROR('Data Sheet'!K27,0)</f>
        <v>1227</v>
      </c>
    </row>
    <row r="22" spans="2:21" x14ac:dyDescent="0.3">
      <c r="B22" s="12" t="s">
        <v>81</v>
      </c>
      <c r="C22" s="13">
        <f>IFERROR((C21/C6),0)</f>
        <v>2.7126460166488649E-4</v>
      </c>
      <c r="D22" s="13">
        <f>IFERROR((D21/D6),0)</f>
        <v>4.224070704445022E-4</v>
      </c>
      <c r="E22" s="13">
        <f t="shared" ref="E22:L22" si="7">IFERROR((E21/E6),0)</f>
        <v>1.3518772659306445E-3</v>
      </c>
      <c r="F22" s="13">
        <f t="shared" si="7"/>
        <v>5.8872627414000723E-3</v>
      </c>
      <c r="G22" s="13">
        <f t="shared" si="7"/>
        <v>3.879958824926756E-3</v>
      </c>
      <c r="H22" s="13">
        <f t="shared" si="7"/>
        <v>4.0885718159725483E-3</v>
      </c>
      <c r="I22" s="13">
        <f t="shared" si="7"/>
        <v>3.4551889930718805E-3</v>
      </c>
      <c r="J22" s="13">
        <f t="shared" si="7"/>
        <v>3.2296496784879592E-3</v>
      </c>
      <c r="K22" s="13">
        <f t="shared" si="7"/>
        <v>3.1176074321254562E-3</v>
      </c>
      <c r="L22" s="13">
        <f t="shared" si="7"/>
        <v>4.595144202141405E-3</v>
      </c>
    </row>
    <row r="24" spans="2:21" x14ac:dyDescent="0.3">
      <c r="B24" t="s">
        <v>5</v>
      </c>
      <c r="C24" s="23">
        <f>IFERROR('Data Sheet'!B26,0)</f>
        <v>1987</v>
      </c>
      <c r="D24" s="23">
        <f>IFERROR('Data Sheet'!C26,0)</f>
        <v>2014</v>
      </c>
      <c r="E24" s="23">
        <f>IFERROR('Data Sheet'!D26,0)</f>
        <v>2056</v>
      </c>
      <c r="F24" s="23">
        <f>IFERROR('Data Sheet'!E26,0)</f>
        <v>3529</v>
      </c>
      <c r="G24" s="23">
        <f>IFERROR('Data Sheet'!F26,0)</f>
        <v>4065</v>
      </c>
      <c r="H24" s="23">
        <f>IFERROR('Data Sheet'!G26,0)</f>
        <v>4604</v>
      </c>
      <c r="I24" s="23">
        <f>IFERROR('Data Sheet'!H26,0)</f>
        <v>5022</v>
      </c>
      <c r="J24" s="23">
        <f>IFERROR('Data Sheet'!I26,0)</f>
        <v>4985</v>
      </c>
      <c r="K24" s="23">
        <f>IFERROR('Data Sheet'!J26,0)</f>
        <v>5242</v>
      </c>
      <c r="L24" s="23">
        <f>IFERROR('Data Sheet'!K26,0)</f>
        <v>5560</v>
      </c>
    </row>
    <row r="25" spans="2:21" x14ac:dyDescent="0.3">
      <c r="B25" s="12" t="s">
        <v>110</v>
      </c>
      <c r="C25" s="13">
        <f>IFERROR((C24/C6),0)</f>
        <v>1.6843836359629046E-2</v>
      </c>
      <c r="D25" s="13">
        <f>IFERROR((D24/D6),0)</f>
        <v>1.6360150766831297E-2</v>
      </c>
      <c r="E25" s="13">
        <f t="shared" ref="E25:L25" si="8">IFERROR((E24/E6),0)</f>
        <v>1.4037675044209118E-2</v>
      </c>
      <c r="F25" s="13">
        <f t="shared" si="8"/>
        <v>2.248501105454638E-2</v>
      </c>
      <c r="G25" s="13">
        <f t="shared" si="8"/>
        <v>2.4759862830969016E-2</v>
      </c>
      <c r="H25" s="13">
        <f t="shared" si="8"/>
        <v>2.4009929388695932E-2</v>
      </c>
      <c r="I25" s="13">
        <f t="shared" si="8"/>
        <v>2.2274658694745805E-2</v>
      </c>
      <c r="J25" s="13">
        <f t="shared" si="8"/>
        <v>2.0693835022188273E-2</v>
      </c>
      <c r="K25" s="13">
        <f t="shared" si="8"/>
        <v>2.053077658191161E-2</v>
      </c>
      <c r="L25" s="13">
        <f t="shared" si="8"/>
        <v>2.0822332325921931E-2</v>
      </c>
    </row>
    <row r="27" spans="2:21" x14ac:dyDescent="0.3">
      <c r="B27" s="26" t="s">
        <v>83</v>
      </c>
      <c r="C27" s="27">
        <f>IFERROR((C18-SUM(C21+C24)),0)</f>
        <v>30385</v>
      </c>
      <c r="D27" s="27">
        <f t="shared" ref="D27:L27" si="9">IFERROR((D18-SUM(D21+D24)),0)</f>
        <v>30536</v>
      </c>
      <c r="E27" s="27">
        <f t="shared" si="9"/>
        <v>37292</v>
      </c>
      <c r="F27" s="27">
        <f t="shared" si="9"/>
        <v>37674</v>
      </c>
      <c r="G27" s="27">
        <f t="shared" si="9"/>
        <v>41858</v>
      </c>
      <c r="H27" s="27">
        <f t="shared" si="9"/>
        <v>47698</v>
      </c>
      <c r="I27" s="27">
        <f t="shared" si="9"/>
        <v>53495</v>
      </c>
      <c r="J27" s="27">
        <f t="shared" si="9"/>
        <v>58575</v>
      </c>
      <c r="K27" s="27">
        <f t="shared" si="9"/>
        <v>61418</v>
      </c>
      <c r="L27" s="27">
        <f t="shared" si="9"/>
        <v>65654</v>
      </c>
      <c r="O27" s="49"/>
      <c r="P27" s="49"/>
      <c r="Q27" s="49"/>
      <c r="R27" s="49"/>
      <c r="S27" s="49"/>
      <c r="T27" s="49"/>
      <c r="U27" s="49"/>
    </row>
    <row r="28" spans="2:21" x14ac:dyDescent="0.3">
      <c r="B28" s="12" t="s">
        <v>84</v>
      </c>
      <c r="C28" s="13">
        <f>IFERROR((C27/C6),0)</f>
        <v>0.25757421629961175</v>
      </c>
      <c r="D28" s="13">
        <f>IFERROR((D27/D6),0)</f>
        <v>0.24805042890564075</v>
      </c>
      <c r="E28" s="13">
        <f t="shared" ref="E28:L28" si="10">IFERROR((E27/E6),0)</f>
        <v>0.2546172070761899</v>
      </c>
      <c r="F28" s="13">
        <f t="shared" si="10"/>
        <v>0.24003975813799386</v>
      </c>
      <c r="G28" s="13">
        <f t="shared" si="10"/>
        <v>0.25495654080656854</v>
      </c>
      <c r="H28" s="13">
        <f t="shared" si="10"/>
        <v>0.24874578887532986</v>
      </c>
      <c r="I28" s="13">
        <f t="shared" si="10"/>
        <v>0.2372725740492686</v>
      </c>
      <c r="J28" s="13">
        <f t="shared" si="10"/>
        <v>0.24315775053654526</v>
      </c>
      <c r="K28" s="13">
        <f t="shared" si="10"/>
        <v>0.24054926289733827</v>
      </c>
      <c r="L28" s="13">
        <f t="shared" si="10"/>
        <v>0.24587579254066161</v>
      </c>
      <c r="P28" s="10"/>
      <c r="Q28" s="10"/>
      <c r="R28" s="10"/>
      <c r="S28" s="10"/>
      <c r="T28" s="10"/>
      <c r="U28" s="10"/>
    </row>
    <row r="30" spans="2:21" x14ac:dyDescent="0.3">
      <c r="B30" t="s">
        <v>8</v>
      </c>
      <c r="C30" s="23">
        <f>IFERROR('Data Sheet'!B29,0)</f>
        <v>8156</v>
      </c>
      <c r="D30" s="23">
        <f>IFERROR('Data Sheet'!C29,0)</f>
        <v>8212</v>
      </c>
      <c r="E30" s="23">
        <f>IFERROR('Data Sheet'!D29,0)</f>
        <v>10001</v>
      </c>
      <c r="F30" s="23">
        <f>IFERROR('Data Sheet'!E29,0)</f>
        <v>9801</v>
      </c>
      <c r="G30" s="23">
        <f>IFERROR('Data Sheet'!F29,0)</f>
        <v>11198</v>
      </c>
      <c r="H30" s="23">
        <f>IFERROR('Data Sheet'!G29,0)</f>
        <v>13238</v>
      </c>
      <c r="I30" s="23">
        <f>IFERROR('Data Sheet'!H29,0)</f>
        <v>14604</v>
      </c>
      <c r="J30" s="23">
        <f>IFERROR('Data Sheet'!I29,0)</f>
        <v>15898</v>
      </c>
      <c r="K30" s="23">
        <f>IFERROR('Data Sheet'!J29,0)</f>
        <v>16534</v>
      </c>
      <c r="L30" s="23">
        <f>IFERROR('Data Sheet'!K29,0)</f>
        <v>16033</v>
      </c>
    </row>
    <row r="31" spans="2:21" x14ac:dyDescent="0.3">
      <c r="B31" s="12" t="s">
        <v>85</v>
      </c>
      <c r="C31" s="13">
        <f>IFERROR((C30/C27),0)</f>
        <v>0.26842191870988974</v>
      </c>
      <c r="D31" s="13">
        <f t="shared" ref="D31:L31" si="11">IFERROR((D30/D27),0)</f>
        <v>0.26892847786219543</v>
      </c>
      <c r="E31" s="13">
        <f t="shared" si="11"/>
        <v>0.268180843076263</v>
      </c>
      <c r="F31" s="13">
        <f t="shared" si="11"/>
        <v>0.26015289058767321</v>
      </c>
      <c r="G31" s="13">
        <f t="shared" si="11"/>
        <v>0.26752353194132544</v>
      </c>
      <c r="H31" s="13">
        <f t="shared" si="11"/>
        <v>0.27753784225753703</v>
      </c>
      <c r="I31" s="13">
        <f t="shared" si="11"/>
        <v>0.27299747639966354</v>
      </c>
      <c r="J31" s="13">
        <f t="shared" si="11"/>
        <v>0.2714127187366624</v>
      </c>
      <c r="K31" s="13">
        <f t="shared" si="11"/>
        <v>0.26920446774561202</v>
      </c>
      <c r="L31" s="13">
        <f t="shared" si="11"/>
        <v>0.2442044658360496</v>
      </c>
    </row>
    <row r="33" spans="1:12" x14ac:dyDescent="0.3">
      <c r="B33" s="26" t="s">
        <v>86</v>
      </c>
      <c r="C33" s="27">
        <f>IFERROR(C27-C30,0)</f>
        <v>22229</v>
      </c>
      <c r="D33" s="27">
        <f t="shared" ref="D33:L33" si="12">IFERROR(D27-D30,0)</f>
        <v>22324</v>
      </c>
      <c r="E33" s="27">
        <f t="shared" si="12"/>
        <v>27291</v>
      </c>
      <c r="F33" s="27">
        <f t="shared" si="12"/>
        <v>27873</v>
      </c>
      <c r="G33" s="27">
        <f t="shared" si="12"/>
        <v>30660</v>
      </c>
      <c r="H33" s="27">
        <f t="shared" si="12"/>
        <v>34460</v>
      </c>
      <c r="I33" s="27">
        <f t="shared" si="12"/>
        <v>38891</v>
      </c>
      <c r="J33" s="27">
        <f t="shared" si="12"/>
        <v>42677</v>
      </c>
      <c r="K33" s="27">
        <f t="shared" si="12"/>
        <v>44884</v>
      </c>
      <c r="L33" s="27">
        <f t="shared" si="12"/>
        <v>49621</v>
      </c>
    </row>
    <row r="34" spans="1:12" x14ac:dyDescent="0.3">
      <c r="B34" s="12" t="s">
        <v>87</v>
      </c>
      <c r="C34" s="13">
        <f>IFERROR((C33/C6),0)</f>
        <v>0.18843565095027381</v>
      </c>
      <c r="D34" s="13">
        <f t="shared" ref="D34:L34" si="13">IFERROR((D33/D6),0)</f>
        <v>0.18134260462698207</v>
      </c>
      <c r="E34" s="13">
        <f t="shared" si="13"/>
        <v>0.18633374982077386</v>
      </c>
      <c r="F34" s="13">
        <f t="shared" si="13"/>
        <v>0.1775927212024288</v>
      </c>
      <c r="G34" s="13">
        <f t="shared" si="13"/>
        <v>0.18674966651845265</v>
      </c>
      <c r="H34" s="13">
        <f t="shared" si="13"/>
        <v>0.17970941936022194</v>
      </c>
      <c r="I34" s="13">
        <f t="shared" si="13"/>
        <v>0.17249776011496598</v>
      </c>
      <c r="J34" s="13">
        <f t="shared" si="13"/>
        <v>0.1771616443815304</v>
      </c>
      <c r="K34" s="13">
        <f t="shared" si="13"/>
        <v>0.17579232661246103</v>
      </c>
      <c r="L34" s="13">
        <f t="shared" si="13"/>
        <v>0.18583182596125397</v>
      </c>
    </row>
    <row r="36" spans="1:12" x14ac:dyDescent="0.3">
      <c r="B36" t="s">
        <v>88</v>
      </c>
      <c r="C36">
        <f>IFERROR('Data Sheet'!B93,0)</f>
        <v>394.09</v>
      </c>
      <c r="D36">
        <f>IFERROR('Data Sheet'!C93,0)</f>
        <v>382.86</v>
      </c>
      <c r="E36">
        <f>IFERROR('Data Sheet'!D93,0)</f>
        <v>375.24</v>
      </c>
      <c r="F36">
        <f>IFERROR('Data Sheet'!E93,0)</f>
        <v>375.24</v>
      </c>
      <c r="G36">
        <f>IFERROR('Data Sheet'!F93,0)</f>
        <v>369.91</v>
      </c>
      <c r="H36">
        <f>IFERROR('Data Sheet'!G93,0)</f>
        <v>365.91</v>
      </c>
      <c r="I36">
        <f>IFERROR('Data Sheet'!H93,0)</f>
        <v>365.91</v>
      </c>
      <c r="J36">
        <f>IFERROR('Data Sheet'!I93,0)</f>
        <v>361.81</v>
      </c>
      <c r="K36">
        <f>IFERROR('Data Sheet'!J93,0)</f>
        <v>361.81</v>
      </c>
      <c r="L36">
        <f>IFERROR('Data Sheet'!K93,0)</f>
        <v>361.81</v>
      </c>
    </row>
    <row r="38" spans="1:12" x14ac:dyDescent="0.3">
      <c r="B38" t="s">
        <v>111</v>
      </c>
      <c r="C38" s="23">
        <f>IFERROR(C33/C36,0)</f>
        <v>56.405897130097188</v>
      </c>
      <c r="D38" s="23">
        <f t="shared" ref="D38:L38" si="14">IFERROR(D33/D36,0)</f>
        <v>58.308520085670999</v>
      </c>
      <c r="E38" s="23">
        <f t="shared" si="14"/>
        <v>72.72945314998401</v>
      </c>
      <c r="F38" s="23">
        <f t="shared" si="14"/>
        <v>74.280460505276622</v>
      </c>
      <c r="G38" s="23">
        <f t="shared" si="14"/>
        <v>82.885026087426667</v>
      </c>
      <c r="H38" s="23">
        <f t="shared" si="14"/>
        <v>94.176163537481884</v>
      </c>
      <c r="I38" s="23">
        <f t="shared" si="14"/>
        <v>106.28569866907162</v>
      </c>
      <c r="J38" s="23">
        <f t="shared" si="14"/>
        <v>117.95417484314972</v>
      </c>
      <c r="K38" s="23">
        <f t="shared" si="14"/>
        <v>124.05406152400431</v>
      </c>
      <c r="L38" s="23">
        <f t="shared" si="14"/>
        <v>137.14656864099942</v>
      </c>
    </row>
    <row r="39" spans="1:12" x14ac:dyDescent="0.3">
      <c r="B39" s="12" t="s">
        <v>89</v>
      </c>
      <c r="C39" s="13"/>
      <c r="D39" s="13">
        <f>IFERROR((D38/C38-1),0)</f>
        <v>3.3730922693872012E-2</v>
      </c>
      <c r="E39" s="13">
        <f t="shared" ref="E39:L39" si="15">IFERROR((E38/D38-1),0)</f>
        <v>0.24732119839647382</v>
      </c>
      <c r="F39" s="13">
        <f t="shared" si="15"/>
        <v>2.1325711773112044E-2</v>
      </c>
      <c r="G39" s="13">
        <f t="shared" si="15"/>
        <v>0.11583888311433932</v>
      </c>
      <c r="H39" s="13">
        <f t="shared" si="15"/>
        <v>0.13622650535387892</v>
      </c>
      <c r="I39" s="13">
        <f t="shared" si="15"/>
        <v>0.12858386535113175</v>
      </c>
      <c r="J39" s="13">
        <f t="shared" si="15"/>
        <v>0.10978406615558645</v>
      </c>
      <c r="K39" s="13">
        <f t="shared" si="15"/>
        <v>5.1714038006420271E-2</v>
      </c>
      <c r="L39" s="13">
        <f t="shared" si="15"/>
        <v>0.10553872203903403</v>
      </c>
    </row>
    <row r="41" spans="1:12" x14ac:dyDescent="0.3">
      <c r="B41" t="s">
        <v>112</v>
      </c>
      <c r="C41" s="23">
        <f>IFERROR('Data Sheet'!B31/HistoricalFS!C36,0)</f>
        <v>23.494633205612931</v>
      </c>
      <c r="D41" s="23">
        <f>IFERROR('Data Sheet'!C31/HistoricalFS!D36,0)</f>
        <v>24.943843702658935</v>
      </c>
      <c r="E41" s="23">
        <f>IFERROR('Data Sheet'!D31/HistoricalFS!E36,0)</f>
        <v>29.980812280140711</v>
      </c>
      <c r="F41" s="23">
        <f>IFERROR('Data Sheet'!E31/HistoricalFS!F36,0)</f>
        <v>72.953309881675722</v>
      </c>
      <c r="G41" s="23">
        <f>IFERROR('Data Sheet'!F31/HistoricalFS!G36,0)</f>
        <v>38.009245492146739</v>
      </c>
      <c r="H41" s="23">
        <f>IFERROR('Data Sheet'!G31/HistoricalFS!H36,0)</f>
        <v>43.010576371238827</v>
      </c>
      <c r="I41" s="23">
        <f>IFERROR('Data Sheet'!H31/HistoricalFS!I36,0)</f>
        <v>115.02828564401081</v>
      </c>
      <c r="J41" s="23">
        <f>IFERROR('Data Sheet'!I31/HistoricalFS!J36,0)</f>
        <v>73.038335037726981</v>
      </c>
      <c r="K41" s="23">
        <f>IFERROR('Data Sheet'!J31/HistoricalFS!K36,0)</f>
        <v>126.06616732539177</v>
      </c>
      <c r="L41" s="23">
        <f>IFERROR('Data Sheet'!K31/HistoricalFS!L36,0)</f>
        <v>110.05776512534203</v>
      </c>
    </row>
    <row r="42" spans="1:12" x14ac:dyDescent="0.3">
      <c r="B42" s="12" t="s">
        <v>113</v>
      </c>
      <c r="C42" s="13">
        <f>IFERROR(C41/C38,0)</f>
        <v>0.41652795897251338</v>
      </c>
      <c r="D42" s="13">
        <f t="shared" ref="D42:L42" si="16">IFERROR(D41/D38,0)</f>
        <v>0.42779071850922773</v>
      </c>
      <c r="E42" s="13">
        <f t="shared" si="16"/>
        <v>0.41222381004726832</v>
      </c>
      <c r="F42" s="13">
        <f t="shared" si="16"/>
        <v>0.98213324722850059</v>
      </c>
      <c r="G42" s="13">
        <f t="shared" si="16"/>
        <v>0.45857795172863669</v>
      </c>
      <c r="H42" s="13">
        <f t="shared" si="16"/>
        <v>0.45670342426001165</v>
      </c>
      <c r="I42" s="13">
        <f t="shared" si="16"/>
        <v>1.0822555346995448</v>
      </c>
      <c r="J42" s="13">
        <f t="shared" si="16"/>
        <v>0.6192094102209621</v>
      </c>
      <c r="K42" s="13">
        <f t="shared" si="16"/>
        <v>1.01621958827199</v>
      </c>
      <c r="L42" s="13">
        <f t="shared" si="16"/>
        <v>0.80248281977388602</v>
      </c>
    </row>
    <row r="44" spans="1:12" x14ac:dyDescent="0.3">
      <c r="B44" t="s">
        <v>90</v>
      </c>
      <c r="C44" s="10">
        <f>IFERROR(IF(C38&gt;C41,1-C42,0),0)</f>
        <v>0.58347204102748662</v>
      </c>
      <c r="D44" s="10">
        <f t="shared" ref="D44:L44" si="17">IFERROR(IF(D38&gt;D41,1-D42,0),0)</f>
        <v>0.57220928149077221</v>
      </c>
      <c r="E44" s="10">
        <f t="shared" si="17"/>
        <v>0.58777618995273162</v>
      </c>
      <c r="F44" s="10">
        <f t="shared" si="17"/>
        <v>1.7866752771499406E-2</v>
      </c>
      <c r="G44" s="10">
        <f t="shared" si="17"/>
        <v>0.54142204827136331</v>
      </c>
      <c r="H44" s="10">
        <f t="shared" si="17"/>
        <v>0.54329657573998835</v>
      </c>
      <c r="I44" s="10">
        <f t="shared" si="17"/>
        <v>0</v>
      </c>
      <c r="J44" s="10">
        <f t="shared" si="17"/>
        <v>0.3807905897790379</v>
      </c>
      <c r="K44" s="10">
        <f t="shared" si="17"/>
        <v>0</v>
      </c>
      <c r="L44" s="10">
        <f t="shared" si="17"/>
        <v>0.19751718022611398</v>
      </c>
    </row>
    <row r="46" spans="1:12" x14ac:dyDescent="0.3">
      <c r="A46" s="9" t="s">
        <v>55</v>
      </c>
      <c r="B46" s="22" t="s">
        <v>114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spans="1:12" x14ac:dyDescent="0.3">
      <c r="B47" t="s">
        <v>10</v>
      </c>
      <c r="C47" s="8">
        <f>IFERROR('Data Sheet'!B57,0)</f>
        <v>197</v>
      </c>
      <c r="D47" s="8">
        <f>IFERROR('Data Sheet'!C57,0)</f>
        <v>191</v>
      </c>
      <c r="E47" s="8">
        <f>IFERROR('Data Sheet'!D57,0)</f>
        <v>375</v>
      </c>
      <c r="F47" s="8">
        <f>IFERROR('Data Sheet'!E57,0)</f>
        <v>375</v>
      </c>
      <c r="G47" s="8">
        <f>IFERROR('Data Sheet'!F57,0)</f>
        <v>370</v>
      </c>
      <c r="H47" s="8">
        <f>IFERROR('Data Sheet'!G57,0)</f>
        <v>366</v>
      </c>
      <c r="I47" s="8">
        <f>IFERROR('Data Sheet'!H57,0)</f>
        <v>366</v>
      </c>
      <c r="J47" s="8">
        <f>IFERROR('Data Sheet'!I57,0)</f>
        <v>362</v>
      </c>
      <c r="K47" s="8">
        <f>IFERROR('Data Sheet'!J57,0)</f>
        <v>362</v>
      </c>
      <c r="L47" s="8">
        <f>IFERROR('Data Sheet'!K57,0)</f>
        <v>362</v>
      </c>
    </row>
    <row r="48" spans="1:12" x14ac:dyDescent="0.3">
      <c r="B48" t="s">
        <v>11</v>
      </c>
      <c r="C48" s="8">
        <f>IFERROR('Data Sheet'!B58,0)</f>
        <v>86017</v>
      </c>
      <c r="D48" s="8">
        <f>IFERROR('Data Sheet'!C58,0)</f>
        <v>84937</v>
      </c>
      <c r="E48" s="8">
        <f>IFERROR('Data Sheet'!D58,0)</f>
        <v>89071</v>
      </c>
      <c r="F48" s="8">
        <f>IFERROR('Data Sheet'!E58,0)</f>
        <v>83751</v>
      </c>
      <c r="G48" s="8">
        <f>IFERROR('Data Sheet'!F58,0)</f>
        <v>86063</v>
      </c>
      <c r="H48" s="8">
        <f>IFERROR('Data Sheet'!G58,0)</f>
        <v>88773</v>
      </c>
      <c r="I48" s="8">
        <f>IFERROR('Data Sheet'!H58,0)</f>
        <v>90058</v>
      </c>
      <c r="J48" s="8">
        <f>IFERROR('Data Sheet'!I58,0)</f>
        <v>90127</v>
      </c>
      <c r="K48" s="8">
        <f>IFERROR('Data Sheet'!J58,0)</f>
        <v>94394</v>
      </c>
      <c r="L48" s="8">
        <f>IFERROR('Data Sheet'!K58,0)</f>
        <v>106878</v>
      </c>
    </row>
    <row r="49" spans="2:12" x14ac:dyDescent="0.3">
      <c r="B49" t="s">
        <v>35</v>
      </c>
      <c r="C49" s="8">
        <f>IFERROR('Data Sheet'!B59,0)</f>
        <v>289</v>
      </c>
      <c r="D49" s="8">
        <f>IFERROR('Data Sheet'!C59,0)</f>
        <v>247</v>
      </c>
      <c r="E49" s="8">
        <f>IFERROR('Data Sheet'!D59,0)</f>
        <v>62</v>
      </c>
      <c r="F49" s="8">
        <f>IFERROR('Data Sheet'!E59,0)</f>
        <v>8174</v>
      </c>
      <c r="G49" s="8">
        <f>IFERROR('Data Sheet'!F59,0)</f>
        <v>7795</v>
      </c>
      <c r="H49" s="8">
        <f>IFERROR('Data Sheet'!G59,0)</f>
        <v>7818</v>
      </c>
      <c r="I49" s="8">
        <f>IFERROR('Data Sheet'!H59,0)</f>
        <v>7688</v>
      </c>
      <c r="J49" s="8">
        <f>IFERROR('Data Sheet'!I59,0)</f>
        <v>8021</v>
      </c>
      <c r="K49" s="8">
        <f>IFERROR('Data Sheet'!J59,0)</f>
        <v>9392</v>
      </c>
      <c r="L49" s="8">
        <f>IFERROR('Data Sheet'!K59,0)</f>
        <v>11283</v>
      </c>
    </row>
    <row r="50" spans="2:12" x14ac:dyDescent="0.3">
      <c r="B50" t="s">
        <v>36</v>
      </c>
      <c r="C50" s="8">
        <f>IFERROR('Data Sheet'!B60,0)</f>
        <v>15830</v>
      </c>
      <c r="D50" s="8">
        <f>IFERROR('Data Sheet'!C60,0)</f>
        <v>19751</v>
      </c>
      <c r="E50" s="8">
        <f>IFERROR('Data Sheet'!D60,0)</f>
        <v>24393</v>
      </c>
      <c r="F50" s="8">
        <f>IFERROR('Data Sheet'!E60,0)</f>
        <v>27827</v>
      </c>
      <c r="G50" s="8">
        <f>IFERROR('Data Sheet'!F60,0)</f>
        <v>35764</v>
      </c>
      <c r="H50" s="8">
        <f>IFERROR('Data Sheet'!G60,0)</f>
        <v>43967</v>
      </c>
      <c r="I50" s="8">
        <f>IFERROR('Data Sheet'!H60,0)</f>
        <v>44747</v>
      </c>
      <c r="J50" s="8">
        <f>IFERROR('Data Sheet'!I60,0)</f>
        <v>46962</v>
      </c>
      <c r="K50" s="8">
        <f>IFERROR('Data Sheet'!J60,0)</f>
        <v>54501</v>
      </c>
      <c r="L50" s="8">
        <f>IFERROR('Data Sheet'!K60,0)</f>
        <v>62644</v>
      </c>
    </row>
    <row r="51" spans="2:12" x14ac:dyDescent="0.3">
      <c r="B51" s="26" t="s">
        <v>102</v>
      </c>
      <c r="C51" s="29">
        <f>IFERROR(SUM(C47:C50),0)</f>
        <v>102333</v>
      </c>
      <c r="D51" s="29">
        <f t="shared" ref="D51:L51" si="18">IFERROR(SUM(D47:D50),0)</f>
        <v>105126</v>
      </c>
      <c r="E51" s="29">
        <f t="shared" si="18"/>
        <v>113901</v>
      </c>
      <c r="F51" s="29">
        <f t="shared" si="18"/>
        <v>120127</v>
      </c>
      <c r="G51" s="29">
        <f t="shared" si="18"/>
        <v>129992</v>
      </c>
      <c r="H51" s="29">
        <f t="shared" si="18"/>
        <v>140924</v>
      </c>
      <c r="I51" s="29">
        <f t="shared" si="18"/>
        <v>142859</v>
      </c>
      <c r="J51" s="29">
        <f t="shared" si="18"/>
        <v>145472</v>
      </c>
      <c r="K51" s="29">
        <f t="shared" si="18"/>
        <v>158649</v>
      </c>
      <c r="L51" s="29">
        <f t="shared" si="18"/>
        <v>181167</v>
      </c>
    </row>
    <row r="53" spans="2:12" x14ac:dyDescent="0.3">
      <c r="B53" t="s">
        <v>91</v>
      </c>
      <c r="C53" s="8">
        <f>IFERROR('Data Sheet'!B62,0)</f>
        <v>11701</v>
      </c>
      <c r="D53" s="8">
        <f>IFERROR('Data Sheet'!C62,0)</f>
        <v>11973</v>
      </c>
      <c r="E53" s="8">
        <f>IFERROR('Data Sheet'!D62,0)</f>
        <v>12290</v>
      </c>
      <c r="F53" s="8">
        <f>IFERROR('Data Sheet'!E62,0)</f>
        <v>20928</v>
      </c>
      <c r="G53" s="8">
        <f>IFERROR('Data Sheet'!F62,0)</f>
        <v>21021</v>
      </c>
      <c r="H53" s="8">
        <f>IFERROR('Data Sheet'!G62,0)</f>
        <v>21298</v>
      </c>
      <c r="I53" s="8">
        <f>IFERROR('Data Sheet'!H62,0)</f>
        <v>20515</v>
      </c>
      <c r="J53" s="8">
        <f>IFERROR('Data Sheet'!I62,0)</f>
        <v>19604</v>
      </c>
      <c r="K53" s="8">
        <f>IFERROR('Data Sheet'!J62,0)</f>
        <v>23053</v>
      </c>
      <c r="L53" s="8">
        <f>IFERROR('Data Sheet'!K62,0)</f>
        <v>31343</v>
      </c>
    </row>
    <row r="54" spans="2:12" x14ac:dyDescent="0.3">
      <c r="B54" t="s">
        <v>14</v>
      </c>
      <c r="C54" s="8">
        <f>IFERROR('Data Sheet'!B63,0)</f>
        <v>1541</v>
      </c>
      <c r="D54" s="8">
        <f>IFERROR('Data Sheet'!C63,0)</f>
        <v>1278</v>
      </c>
      <c r="E54" s="8">
        <f>IFERROR('Data Sheet'!D63,0)</f>
        <v>963</v>
      </c>
      <c r="F54" s="8">
        <f>IFERROR('Data Sheet'!E63,0)</f>
        <v>906</v>
      </c>
      <c r="G54" s="8">
        <f>IFERROR('Data Sheet'!F63,0)</f>
        <v>926</v>
      </c>
      <c r="H54" s="8">
        <f>IFERROR('Data Sheet'!G63,0)</f>
        <v>1205</v>
      </c>
      <c r="I54" s="8">
        <f>IFERROR('Data Sheet'!H63,0)</f>
        <v>1234</v>
      </c>
      <c r="J54" s="8">
        <f>IFERROR('Data Sheet'!I63,0)</f>
        <v>1564</v>
      </c>
      <c r="K54" s="8">
        <f>IFERROR('Data Sheet'!J63,0)</f>
        <v>1546</v>
      </c>
      <c r="L54" s="8">
        <f>IFERROR('Data Sheet'!K63,0)</f>
        <v>2665</v>
      </c>
    </row>
    <row r="55" spans="2:12" x14ac:dyDescent="0.3">
      <c r="B55" t="s">
        <v>15</v>
      </c>
      <c r="C55" s="8">
        <f>IFERROR('Data Sheet'!B64,0)</f>
        <v>41980</v>
      </c>
      <c r="D55" s="8">
        <f>IFERROR('Data Sheet'!C64,0)</f>
        <v>36008</v>
      </c>
      <c r="E55" s="8">
        <f>IFERROR('Data Sheet'!D64,0)</f>
        <v>29330</v>
      </c>
      <c r="F55" s="8">
        <f>IFERROR('Data Sheet'!E64,0)</f>
        <v>26356</v>
      </c>
      <c r="G55" s="8">
        <f>IFERROR('Data Sheet'!F64,0)</f>
        <v>29373</v>
      </c>
      <c r="H55" s="8">
        <f>IFERROR('Data Sheet'!G64,0)</f>
        <v>30485</v>
      </c>
      <c r="I55" s="8">
        <f>IFERROR('Data Sheet'!H64,0)</f>
        <v>37163</v>
      </c>
      <c r="J55" s="8">
        <f>IFERROR('Data Sheet'!I64,0)</f>
        <v>31762</v>
      </c>
      <c r="K55" s="8">
        <f>IFERROR('Data Sheet'!J64,0)</f>
        <v>30964</v>
      </c>
      <c r="L55" s="8">
        <f>IFERROR('Data Sheet'!K64,0)</f>
        <v>33988</v>
      </c>
    </row>
    <row r="56" spans="2:12" x14ac:dyDescent="0.3">
      <c r="B56" t="s">
        <v>37</v>
      </c>
      <c r="C56" s="8">
        <f>IFERROR('Data Sheet'!B65-(SUM('Data Sheet'!B67:B69)),0)</f>
        <v>20324</v>
      </c>
      <c r="D56" s="8">
        <f>IFERROR('Data Sheet'!C65-(SUM('Data Sheet'!C67:C69)),0)</f>
        <v>23737</v>
      </c>
      <c r="E56" s="8">
        <f>IFERROR('Data Sheet'!D65-(SUM('Data Sheet'!D67:D69)),0)</f>
        <v>31114</v>
      </c>
      <c r="F56" s="8">
        <f>IFERROR('Data Sheet'!E65-(SUM('Data Sheet'!E67:E69)),0)</f>
        <v>31734</v>
      </c>
      <c r="G56" s="8">
        <f>IFERROR('Data Sheet'!F65-(SUM('Data Sheet'!F67:F69)),0)</f>
        <v>39256</v>
      </c>
      <c r="H56" s="8">
        <f>IFERROR('Data Sheet'!G65-(SUM('Data Sheet'!G67:G69)),0)</f>
        <v>27885</v>
      </c>
      <c r="I56" s="8">
        <f>IFERROR('Data Sheet'!H65-(SUM('Data Sheet'!H67:H69)),0)</f>
        <v>22933</v>
      </c>
      <c r="J56" s="8">
        <f>IFERROR('Data Sheet'!I65-(SUM('Data Sheet'!I67:I69)),0)</f>
        <v>25651</v>
      </c>
      <c r="K56" s="8">
        <f>IFERROR('Data Sheet'!J65-(SUM('Data Sheet'!J67:J69)),0)</f>
        <v>28556</v>
      </c>
      <c r="L56" s="8">
        <f>IFERROR('Data Sheet'!K65-(SUM('Data Sheet'!K67:K69)),0)</f>
        <v>32520</v>
      </c>
    </row>
    <row r="57" spans="2:12" x14ac:dyDescent="0.3">
      <c r="B57" s="26" t="s">
        <v>92</v>
      </c>
      <c r="C57" s="29">
        <f>IFERROR(SUM(C53:C56),0)</f>
        <v>75546</v>
      </c>
      <c r="D57" s="29">
        <f t="shared" ref="D57:L57" si="19">IFERROR(SUM(D53:D56),0)</f>
        <v>72996</v>
      </c>
      <c r="E57" s="29">
        <f t="shared" si="19"/>
        <v>73697</v>
      </c>
      <c r="F57" s="29">
        <f t="shared" si="19"/>
        <v>79924</v>
      </c>
      <c r="G57" s="29">
        <f t="shared" si="19"/>
        <v>90576</v>
      </c>
      <c r="H57" s="29">
        <f t="shared" si="19"/>
        <v>80873</v>
      </c>
      <c r="I57" s="29">
        <f t="shared" si="19"/>
        <v>81845</v>
      </c>
      <c r="J57" s="29">
        <f t="shared" si="19"/>
        <v>78581</v>
      </c>
      <c r="K57" s="29">
        <f t="shared" si="19"/>
        <v>84119</v>
      </c>
      <c r="L57" s="29">
        <f t="shared" si="19"/>
        <v>100516</v>
      </c>
    </row>
    <row r="59" spans="2:12" x14ac:dyDescent="0.3">
      <c r="B59" t="s">
        <v>42</v>
      </c>
      <c r="C59" s="8">
        <f>IFERROR('Data Sheet'!B67,0)</f>
        <v>22617</v>
      </c>
      <c r="D59" s="8">
        <f>IFERROR('Data Sheet'!C67,0)</f>
        <v>24943</v>
      </c>
      <c r="E59" s="8">
        <f>IFERROR('Data Sheet'!D67,0)</f>
        <v>27346</v>
      </c>
      <c r="F59" s="8">
        <f>IFERROR('Data Sheet'!E67,0)</f>
        <v>30532</v>
      </c>
      <c r="G59" s="8">
        <f>IFERROR('Data Sheet'!F67,0)</f>
        <v>30079</v>
      </c>
      <c r="H59" s="8">
        <f>IFERROR('Data Sheet'!G67,0)</f>
        <v>41810</v>
      </c>
      <c r="I59" s="8">
        <f>IFERROR('Data Sheet'!H67,0)</f>
        <v>49954</v>
      </c>
      <c r="J59" s="8">
        <f>IFERROR('Data Sheet'!I67,0)</f>
        <v>53577</v>
      </c>
      <c r="K59" s="8">
        <f>IFERROR('Data Sheet'!J67,0)</f>
        <v>59046</v>
      </c>
      <c r="L59" s="8">
        <f>IFERROR('Data Sheet'!K67,0)</f>
        <v>67714</v>
      </c>
    </row>
    <row r="60" spans="2:12" x14ac:dyDescent="0.3">
      <c r="B60" t="s">
        <v>29</v>
      </c>
      <c r="C60" s="8">
        <f>IFERROR('Data Sheet'!B68,0)</f>
        <v>21</v>
      </c>
      <c r="D60" s="8">
        <f>IFERROR('Data Sheet'!C68,0)</f>
        <v>26</v>
      </c>
      <c r="E60" s="8">
        <f>IFERROR('Data Sheet'!D68,0)</f>
        <v>10</v>
      </c>
      <c r="F60" s="8">
        <f>IFERROR('Data Sheet'!E68,0)</f>
        <v>5</v>
      </c>
      <c r="G60" s="8">
        <f>IFERROR('Data Sheet'!F68,0)</f>
        <v>8</v>
      </c>
      <c r="H60" s="8">
        <f>IFERROR('Data Sheet'!G68,0)</f>
        <v>20</v>
      </c>
      <c r="I60" s="8">
        <f>IFERROR('Data Sheet'!H68,0)</f>
        <v>28</v>
      </c>
      <c r="J60" s="8">
        <f>IFERROR('Data Sheet'!I68,0)</f>
        <v>28</v>
      </c>
      <c r="K60" s="8">
        <f>IFERROR('Data Sheet'!J68,0)</f>
        <v>21</v>
      </c>
      <c r="L60" s="8">
        <f>IFERROR('Data Sheet'!K68,0)</f>
        <v>29</v>
      </c>
    </row>
    <row r="61" spans="2:12" x14ac:dyDescent="0.3">
      <c r="B61" t="s">
        <v>51</v>
      </c>
      <c r="C61" s="8">
        <f>IFERROR('Data Sheet'!B69,0)</f>
        <v>4149</v>
      </c>
      <c r="D61" s="8">
        <f>IFERROR('Data Sheet'!C69,0)</f>
        <v>7161</v>
      </c>
      <c r="E61" s="8">
        <f>IFERROR('Data Sheet'!D69,0)</f>
        <v>12848</v>
      </c>
      <c r="F61" s="8">
        <f>IFERROR('Data Sheet'!E69,0)</f>
        <v>9666</v>
      </c>
      <c r="G61" s="8">
        <f>IFERROR('Data Sheet'!F69,0)</f>
        <v>9329</v>
      </c>
      <c r="H61" s="8">
        <f>IFERROR('Data Sheet'!G69,0)</f>
        <v>18221</v>
      </c>
      <c r="I61" s="8">
        <f>IFERROR('Data Sheet'!H69,0)</f>
        <v>11032</v>
      </c>
      <c r="J61" s="8">
        <f>IFERROR('Data Sheet'!I69,0)</f>
        <v>13286</v>
      </c>
      <c r="K61" s="8">
        <f>IFERROR('Data Sheet'!J69,0)</f>
        <v>15463</v>
      </c>
      <c r="L61" s="8">
        <f>IFERROR('Data Sheet'!K69,0)</f>
        <v>12908</v>
      </c>
    </row>
    <row r="62" spans="2:12" x14ac:dyDescent="0.3">
      <c r="B62" s="26" t="s">
        <v>93</v>
      </c>
      <c r="C62" s="29">
        <f>SUM(C59:C61)</f>
        <v>26787</v>
      </c>
      <c r="D62" s="29">
        <f t="shared" ref="D62:L62" si="20">SUM(D59:D61)</f>
        <v>32130</v>
      </c>
      <c r="E62" s="29">
        <f t="shared" si="20"/>
        <v>40204</v>
      </c>
      <c r="F62" s="29">
        <f t="shared" si="20"/>
        <v>40203</v>
      </c>
      <c r="G62" s="29">
        <f t="shared" si="20"/>
        <v>39416</v>
      </c>
      <c r="H62" s="29">
        <f t="shared" si="20"/>
        <v>60051</v>
      </c>
      <c r="I62" s="29">
        <f t="shared" si="20"/>
        <v>61014</v>
      </c>
      <c r="J62" s="29">
        <f t="shared" si="20"/>
        <v>66891</v>
      </c>
      <c r="K62" s="29">
        <f t="shared" si="20"/>
        <v>74530</v>
      </c>
      <c r="L62" s="29">
        <f t="shared" si="20"/>
        <v>80651</v>
      </c>
    </row>
    <row r="64" spans="2:12" x14ac:dyDescent="0.3">
      <c r="B64" s="26" t="s">
        <v>103</v>
      </c>
      <c r="C64" s="29">
        <f>IFERROR(C57+C62,0)</f>
        <v>102333</v>
      </c>
      <c r="D64" s="29">
        <f t="shared" ref="D64:L64" si="21">IFERROR(D57+D62,0)</f>
        <v>105126</v>
      </c>
      <c r="E64" s="29">
        <f t="shared" si="21"/>
        <v>113901</v>
      </c>
      <c r="F64" s="29">
        <f t="shared" si="21"/>
        <v>120127</v>
      </c>
      <c r="G64" s="29">
        <f t="shared" si="21"/>
        <v>129992</v>
      </c>
      <c r="H64" s="29">
        <f t="shared" si="21"/>
        <v>140924</v>
      </c>
      <c r="I64" s="29">
        <f t="shared" si="21"/>
        <v>142859</v>
      </c>
      <c r="J64" s="29">
        <f t="shared" si="21"/>
        <v>145472</v>
      </c>
      <c r="K64" s="29">
        <f t="shared" si="21"/>
        <v>158649</v>
      </c>
      <c r="L64" s="29">
        <f t="shared" si="21"/>
        <v>181167</v>
      </c>
    </row>
    <row r="66" spans="1:12" x14ac:dyDescent="0.3">
      <c r="B66" s="28" t="s">
        <v>94</v>
      </c>
      <c r="C66" t="b">
        <f>C64=C51</f>
        <v>1</v>
      </c>
      <c r="D66" t="b">
        <f t="shared" ref="D66:L66" si="22">D64=D51</f>
        <v>1</v>
      </c>
      <c r="E66" t="b">
        <f t="shared" si="22"/>
        <v>1</v>
      </c>
      <c r="F66" t="b">
        <f t="shared" si="22"/>
        <v>1</v>
      </c>
      <c r="G66" t="b">
        <f t="shared" si="22"/>
        <v>1</v>
      </c>
      <c r="H66" t="b">
        <f t="shared" si="22"/>
        <v>1</v>
      </c>
      <c r="I66" t="b">
        <f t="shared" si="22"/>
        <v>1</v>
      </c>
      <c r="J66" t="b">
        <f t="shared" si="22"/>
        <v>1</v>
      </c>
      <c r="K66" t="b">
        <f t="shared" si="22"/>
        <v>1</v>
      </c>
      <c r="L66" t="b">
        <f t="shared" si="22"/>
        <v>1</v>
      </c>
    </row>
    <row r="68" spans="1:12" x14ac:dyDescent="0.3">
      <c r="A68" s="9" t="s">
        <v>55</v>
      </c>
      <c r="B68" s="22" t="s">
        <v>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</row>
    <row r="69" spans="1:12" x14ac:dyDescent="0.3">
      <c r="B69" s="9" t="s">
        <v>100</v>
      </c>
    </row>
    <row r="70" spans="1:12" x14ac:dyDescent="0.3">
      <c r="B70" t="s">
        <v>116</v>
      </c>
      <c r="C70" s="8">
        <f>IFERROR('Cash Flow Data'!C4,0)</f>
        <v>33800</v>
      </c>
      <c r="D70" s="8">
        <f>IFERROR('Cash Flow Data'!D4,0)</f>
        <v>32885</v>
      </c>
      <c r="E70" s="8">
        <f>IFERROR('Cash Flow Data'!E4,0)</f>
        <v>40720</v>
      </c>
      <c r="F70" s="8">
        <f>IFERROR('Cash Flow Data'!F4,0)</f>
        <v>42882</v>
      </c>
      <c r="G70" s="8">
        <f>IFERROR('Cash Flow Data'!G4,0)</f>
        <v>47031</v>
      </c>
      <c r="H70" s="8">
        <f>IFERROR('Cash Flow Data'!H4,0)</f>
        <v>54204</v>
      </c>
      <c r="I70" s="8">
        <f>IFERROR('Cash Flow Data'!I4,0)</f>
        <v>59148</v>
      </c>
      <c r="J70" s="8">
        <f>IFERROR('Cash Flow Data'!J4,0)</f>
        <v>63709</v>
      </c>
      <c r="K70" s="8">
        <f>IFERROR('Cash Flow Data'!K4,0)</f>
        <v>67853</v>
      </c>
      <c r="L70" s="8">
        <f>IFERROR('Cash Flow Data'!L4,0)</f>
        <v>68688</v>
      </c>
    </row>
    <row r="71" spans="1:12" x14ac:dyDescent="0.3">
      <c r="B71" t="s">
        <v>42</v>
      </c>
      <c r="C71" s="8">
        <f>IFERROR('Cash Flow Data'!C5,0)</f>
        <v>680</v>
      </c>
      <c r="D71" s="8">
        <f>IFERROR('Cash Flow Data'!D5,0)</f>
        <v>-1833</v>
      </c>
      <c r="E71" s="8">
        <f>IFERROR('Cash Flow Data'!E5,0)</f>
        <v>-2883</v>
      </c>
      <c r="F71" s="8">
        <f>IFERROR('Cash Flow Data'!F5,0)</f>
        <v>-3295</v>
      </c>
      <c r="G71" s="8">
        <f>IFERROR('Cash Flow Data'!G5,0)</f>
        <v>1059</v>
      </c>
      <c r="H71" s="8">
        <f>IFERROR('Cash Flow Data'!H5,0)</f>
        <v>-5144</v>
      </c>
      <c r="I71" s="8">
        <f>IFERROR('Cash Flow Data'!I5,0)</f>
        <v>-7683</v>
      </c>
      <c r="J71" s="8">
        <f>IFERROR('Cash Flow Data'!J5,0)</f>
        <v>-3332</v>
      </c>
      <c r="K71" s="8">
        <f>IFERROR('Cash Flow Data'!K5,0)</f>
        <v>-5228</v>
      </c>
      <c r="L71" s="8">
        <f>IFERROR('Cash Flow Data'!L5,0)</f>
        <v>-5248</v>
      </c>
    </row>
    <row r="72" spans="1:12" x14ac:dyDescent="0.3">
      <c r="B72" t="s">
        <v>29</v>
      </c>
      <c r="C72" s="8">
        <f>IFERROR('Cash Flow Data'!C6,0)</f>
        <v>0</v>
      </c>
      <c r="D72" s="8">
        <f>IFERROR('Cash Flow Data'!D6,0)</f>
        <v>-5</v>
      </c>
      <c r="E72" s="8">
        <f>IFERROR('Cash Flow Data'!E6,0)</f>
        <v>16</v>
      </c>
      <c r="F72" s="8">
        <f>IFERROR('Cash Flow Data'!F6,0)</f>
        <v>5</v>
      </c>
      <c r="G72" s="8">
        <f>IFERROR('Cash Flow Data'!G6,0)</f>
        <v>-3</v>
      </c>
      <c r="H72" s="8">
        <f>IFERROR('Cash Flow Data'!H6,0)</f>
        <v>-12</v>
      </c>
      <c r="I72" s="8">
        <f>IFERROR('Cash Flow Data'!I6,0)</f>
        <v>-8</v>
      </c>
      <c r="J72" s="8">
        <f>IFERROR('Cash Flow Data'!J6,0)</f>
        <v>0</v>
      </c>
      <c r="K72" s="8">
        <f>IFERROR('Cash Flow Data'!K6,0)</f>
        <v>7</v>
      </c>
      <c r="L72" s="8">
        <f>IFERROR('Cash Flow Data'!L6,0)</f>
        <v>-8</v>
      </c>
    </row>
    <row r="73" spans="1:12" x14ac:dyDescent="0.3">
      <c r="B73" t="s">
        <v>59</v>
      </c>
      <c r="C73" s="8">
        <f>IFERROR('Cash Flow Data'!C7,0)</f>
        <v>-201</v>
      </c>
      <c r="D73" s="8">
        <f>IFERROR('Cash Flow Data'!D7,0)</f>
        <v>-346</v>
      </c>
      <c r="E73" s="8">
        <f>IFERROR('Cash Flow Data'!E7,0)</f>
        <v>1496</v>
      </c>
      <c r="F73" s="8">
        <f>IFERROR('Cash Flow Data'!F7,0)</f>
        <v>446</v>
      </c>
      <c r="G73" s="8">
        <f>IFERROR('Cash Flow Data'!G7,0)</f>
        <v>-93</v>
      </c>
      <c r="H73" s="8">
        <f>IFERROR('Cash Flow Data'!H7,0)</f>
        <v>186</v>
      </c>
      <c r="I73" s="8">
        <f>IFERROR('Cash Flow Data'!I7,0)</f>
        <v>2036</v>
      </c>
      <c r="J73" s="8">
        <f>IFERROR('Cash Flow Data'!J7,0)</f>
        <v>-632</v>
      </c>
      <c r="K73" s="8">
        <f>IFERROR('Cash Flow Data'!K7,0)</f>
        <v>3718</v>
      </c>
      <c r="L73" s="8">
        <f>IFERROR('Cash Flow Data'!L7,0)</f>
        <v>-1105</v>
      </c>
    </row>
    <row r="74" spans="1:12" x14ac:dyDescent="0.3">
      <c r="B74" t="s">
        <v>117</v>
      </c>
      <c r="C74" s="8">
        <f>IFERROR('Cash Flow Data'!C8,0)</f>
        <v>0</v>
      </c>
      <c r="D74" s="8">
        <f>IFERROR('Cash Flow Data'!D8,0)</f>
        <v>0</v>
      </c>
      <c r="E74" s="8">
        <f>IFERROR('Cash Flow Data'!E8,0)</f>
        <v>-499</v>
      </c>
      <c r="F74" s="8">
        <f>IFERROR('Cash Flow Data'!F8,0)</f>
        <v>0</v>
      </c>
      <c r="G74" s="8">
        <f>IFERROR('Cash Flow Data'!G8,0)</f>
        <v>-17</v>
      </c>
      <c r="H74" s="8">
        <f>IFERROR('Cash Flow Data'!H8,0)</f>
        <v>-116</v>
      </c>
      <c r="I74" s="8">
        <f>IFERROR('Cash Flow Data'!I8,0)</f>
        <v>261</v>
      </c>
      <c r="J74" s="8">
        <f>IFERROR('Cash Flow Data'!J8,0)</f>
        <v>-301</v>
      </c>
      <c r="K74" s="8">
        <f>IFERROR('Cash Flow Data'!K8,0)</f>
        <v>-738</v>
      </c>
      <c r="L74" s="8">
        <f>IFERROR('Cash Flow Data'!L8,0)</f>
        <v>197</v>
      </c>
    </row>
    <row r="75" spans="1:12" x14ac:dyDescent="0.3">
      <c r="B75" t="s">
        <v>118</v>
      </c>
      <c r="C75" s="8">
        <f>IFERROR('Cash Flow Data'!C9,0)</f>
        <v>-1110</v>
      </c>
      <c r="D75" s="8">
        <f>IFERROR('Cash Flow Data'!D9,0)</f>
        <v>1975</v>
      </c>
      <c r="E75" s="8">
        <f>IFERROR('Cash Flow Data'!E9,0)</f>
        <v>-299</v>
      </c>
      <c r="F75" s="8">
        <f>IFERROR('Cash Flow Data'!F9,0)</f>
        <v>-1823</v>
      </c>
      <c r="G75" s="8">
        <f>IFERROR('Cash Flow Data'!G9,0)</f>
        <v>-83</v>
      </c>
      <c r="H75" s="8">
        <f>IFERROR('Cash Flow Data'!H9,0)</f>
        <v>2317</v>
      </c>
      <c r="I75" s="8">
        <f>IFERROR('Cash Flow Data'!I9,0)</f>
        <v>1177</v>
      </c>
      <c r="J75" s="8">
        <f>IFERROR('Cash Flow Data'!J9,0)</f>
        <v>-2617</v>
      </c>
      <c r="K75" s="8">
        <f>IFERROR('Cash Flow Data'!K9,0)</f>
        <v>-1118</v>
      </c>
      <c r="L75" s="8">
        <f>IFERROR('Cash Flow Data'!L9,0)</f>
        <v>3954</v>
      </c>
    </row>
    <row r="76" spans="1:12" x14ac:dyDescent="0.3">
      <c r="B76" t="s">
        <v>119</v>
      </c>
      <c r="C76" s="8">
        <f>IFERROR(SUM(C71:C75),0)</f>
        <v>-631</v>
      </c>
      <c r="D76" s="8">
        <f t="shared" ref="D76:L76" si="23">IFERROR(SUM(D71:D75),0)</f>
        <v>-209</v>
      </c>
      <c r="E76" s="8">
        <f t="shared" si="23"/>
        <v>-2169</v>
      </c>
      <c r="F76" s="8">
        <f t="shared" si="23"/>
        <v>-4667</v>
      </c>
      <c r="G76" s="8">
        <f t="shared" si="23"/>
        <v>863</v>
      </c>
      <c r="H76" s="8">
        <f t="shared" si="23"/>
        <v>-2769</v>
      </c>
      <c r="I76" s="8">
        <f t="shared" si="23"/>
        <v>-4217</v>
      </c>
      <c r="J76" s="8">
        <f t="shared" si="23"/>
        <v>-6882</v>
      </c>
      <c r="K76" s="8">
        <f t="shared" si="23"/>
        <v>-3359</v>
      </c>
      <c r="L76" s="8">
        <f t="shared" si="23"/>
        <v>-2210</v>
      </c>
    </row>
    <row r="77" spans="1:12" x14ac:dyDescent="0.3">
      <c r="B77" t="s">
        <v>120</v>
      </c>
      <c r="C77" s="8">
        <f>IFERROR('Cash Flow Data'!C11,0)</f>
        <v>-7946</v>
      </c>
      <c r="D77" s="8">
        <f>IFERROR('Cash Flow Data'!D11,0)</f>
        <v>-7609</v>
      </c>
      <c r="E77" s="8">
        <f>IFERROR('Cash Flow Data'!E11,0)</f>
        <v>-9958</v>
      </c>
      <c r="F77" s="8">
        <f>IFERROR('Cash Flow Data'!F11,0)</f>
        <v>-5846</v>
      </c>
      <c r="G77" s="8">
        <f>IFERROR('Cash Flow Data'!G11,0)</f>
        <v>-9092</v>
      </c>
      <c r="H77" s="8">
        <f>IFERROR('Cash Flow Data'!H11,0)</f>
        <v>-11486</v>
      </c>
      <c r="I77" s="8">
        <f>IFERROR('Cash Flow Data'!I11,0)</f>
        <v>-12966</v>
      </c>
      <c r="J77" s="8">
        <f>IFERROR('Cash Flow Data'!J11,0)</f>
        <v>-12489</v>
      </c>
      <c r="K77" s="8">
        <f>IFERROR('Cash Flow Data'!K11,0)</f>
        <v>-15586</v>
      </c>
      <c r="L77" s="8">
        <f>IFERROR('Cash Flow Data'!L11,0)</f>
        <v>-14384</v>
      </c>
    </row>
    <row r="78" spans="1:12" x14ac:dyDescent="0.3">
      <c r="B78" s="26" t="s">
        <v>121</v>
      </c>
      <c r="C78" s="29">
        <f>IFERROR(SUM(C70+C76+C77),0)</f>
        <v>25223</v>
      </c>
      <c r="D78" s="29">
        <f t="shared" ref="D78:L78" si="24">IFERROR(SUM(D70+D76+D77),0)</f>
        <v>25067</v>
      </c>
      <c r="E78" s="29">
        <f t="shared" si="24"/>
        <v>28593</v>
      </c>
      <c r="F78" s="29">
        <f t="shared" si="24"/>
        <v>32369</v>
      </c>
      <c r="G78" s="29">
        <f t="shared" si="24"/>
        <v>38802</v>
      </c>
      <c r="H78" s="29">
        <f t="shared" si="24"/>
        <v>39949</v>
      </c>
      <c r="I78" s="29">
        <f t="shared" si="24"/>
        <v>41965</v>
      </c>
      <c r="J78" s="29">
        <f t="shared" si="24"/>
        <v>44338</v>
      </c>
      <c r="K78" s="29">
        <f t="shared" si="24"/>
        <v>48908</v>
      </c>
      <c r="L78" s="29">
        <f t="shared" si="24"/>
        <v>52094</v>
      </c>
    </row>
    <row r="80" spans="1:12" x14ac:dyDescent="0.3">
      <c r="B80" s="9" t="s">
        <v>122</v>
      </c>
    </row>
    <row r="81" spans="2:12" x14ac:dyDescent="0.3">
      <c r="B81" t="s">
        <v>123</v>
      </c>
      <c r="C81" s="8">
        <f>IFERROR('Cash Flow Data'!C13,0)</f>
        <v>-1989</v>
      </c>
      <c r="D81" s="8">
        <f>IFERROR('Cash Flow Data'!D13,0)</f>
        <v>-1862</v>
      </c>
      <c r="E81" s="8">
        <f>IFERROR('Cash Flow Data'!E13,0)</f>
        <v>-2231</v>
      </c>
      <c r="F81" s="8">
        <f>IFERROR('Cash Flow Data'!F13,0)</f>
        <v>-3249</v>
      </c>
      <c r="G81" s="8">
        <f>IFERROR('Cash Flow Data'!G13,0)</f>
        <v>-3176</v>
      </c>
      <c r="H81" s="8">
        <f>IFERROR('Cash Flow Data'!H13,0)</f>
        <v>-2995</v>
      </c>
      <c r="I81" s="8">
        <f>IFERROR('Cash Flow Data'!I13,0)</f>
        <v>-3100</v>
      </c>
      <c r="J81" s="8">
        <f>IFERROR('Cash Flow Data'!J13,0)</f>
        <v>-2674</v>
      </c>
      <c r="K81" s="8">
        <f>IFERROR('Cash Flow Data'!K13,0)</f>
        <v>-3937</v>
      </c>
      <c r="L81" s="8">
        <f>IFERROR('Cash Flow Data'!L13,0)</f>
        <v>-4187</v>
      </c>
    </row>
    <row r="82" spans="2:12" x14ac:dyDescent="0.3">
      <c r="B82" t="s">
        <v>124</v>
      </c>
      <c r="C82" s="8">
        <f>IFERROR('Cash Flow Data'!C14,0)</f>
        <v>36</v>
      </c>
      <c r="D82" s="8">
        <f>IFERROR('Cash Flow Data'!D14,0)</f>
        <v>58</v>
      </c>
      <c r="E82" s="8">
        <f>IFERROR('Cash Flow Data'!E14,0)</f>
        <v>99</v>
      </c>
      <c r="F82" s="8">
        <f>IFERROR('Cash Flow Data'!F14,0)</f>
        <v>161</v>
      </c>
      <c r="G82" s="8">
        <f>IFERROR('Cash Flow Data'!G14,0)</f>
        <v>37</v>
      </c>
      <c r="H82" s="8">
        <f>IFERROR('Cash Flow Data'!H14,0)</f>
        <v>31</v>
      </c>
      <c r="I82" s="8">
        <f>IFERROR('Cash Flow Data'!I14,0)</f>
        <v>37</v>
      </c>
      <c r="J82" s="8">
        <f>IFERROR('Cash Flow Data'!J14,0)</f>
        <v>24</v>
      </c>
      <c r="K82" s="8">
        <f>IFERROR('Cash Flow Data'!K14,0)</f>
        <v>23</v>
      </c>
      <c r="L82" s="8">
        <f>IFERROR('Cash Flow Data'!L14,0)</f>
        <v>931</v>
      </c>
    </row>
    <row r="83" spans="2:12" x14ac:dyDescent="0.3">
      <c r="B83" t="s">
        <v>125</v>
      </c>
      <c r="C83" s="8">
        <f>IFERROR('Cash Flow Data'!C15,0)</f>
        <v>-121423</v>
      </c>
      <c r="D83" s="8">
        <f>IFERROR('Cash Flow Data'!D15,0)</f>
        <v>-97473</v>
      </c>
      <c r="E83" s="8">
        <f>IFERROR('Cash Flow Data'!E15,0)</f>
        <v>-96751</v>
      </c>
      <c r="F83" s="8">
        <f>IFERROR('Cash Flow Data'!F15,0)</f>
        <v>-80002</v>
      </c>
      <c r="G83" s="8">
        <f>IFERROR('Cash Flow Data'!G15,0)</f>
        <v>-54462</v>
      </c>
      <c r="H83" s="8">
        <f>IFERROR('Cash Flow Data'!H15,0)</f>
        <v>-75374</v>
      </c>
      <c r="I83" s="8">
        <f>IFERROR('Cash Flow Data'!I15,0)</f>
        <v>-129745</v>
      </c>
      <c r="J83" s="8">
        <f>IFERROR('Cash Flow Data'!J15,0)</f>
        <v>-141011</v>
      </c>
      <c r="K83" s="8">
        <f>IFERROR('Cash Flow Data'!K15,0)</f>
        <v>-145962</v>
      </c>
      <c r="L83" s="8">
        <f>IFERROR('Cash Flow Data'!L15,0)</f>
        <v>-151864</v>
      </c>
    </row>
    <row r="84" spans="2:12" x14ac:dyDescent="0.3">
      <c r="B84" t="s">
        <v>126</v>
      </c>
      <c r="C84" s="8">
        <f>IFERROR('Cash Flow Data'!C16,0)</f>
        <v>102798</v>
      </c>
      <c r="D84" s="8">
        <f>IFERROR('Cash Flow Data'!D16,0)</f>
        <v>103482</v>
      </c>
      <c r="E84" s="8">
        <f>IFERROR('Cash Flow Data'!E16,0)</f>
        <v>104133</v>
      </c>
      <c r="F84" s="8">
        <f>IFERROR('Cash Flow Data'!F16,0)</f>
        <v>84089</v>
      </c>
      <c r="G84" s="8">
        <f>IFERROR('Cash Flow Data'!G16,0)</f>
        <v>51630</v>
      </c>
      <c r="H84" s="8">
        <f>IFERROR('Cash Flow Data'!H16,0)</f>
        <v>73852</v>
      </c>
      <c r="I84" s="8">
        <f>IFERROR('Cash Flow Data'!I16,0)</f>
        <v>122687</v>
      </c>
      <c r="J84" s="8">
        <f>IFERROR('Cash Flow Data'!J16,0)</f>
        <v>147204</v>
      </c>
      <c r="K84" s="8">
        <f>IFERROR('Cash Flow Data'!K16,0)</f>
        <v>147695</v>
      </c>
      <c r="L84" s="8">
        <f>IFERROR('Cash Flow Data'!L16,0)</f>
        <v>148023</v>
      </c>
    </row>
    <row r="85" spans="2:12" x14ac:dyDescent="0.3">
      <c r="B85" t="s">
        <v>127</v>
      </c>
      <c r="C85" s="8">
        <f>IFERROR('Cash Flow Data'!C17,0)</f>
        <v>1788</v>
      </c>
      <c r="D85" s="8">
        <f>IFERROR('Cash Flow Data'!D17,0)</f>
        <v>2623</v>
      </c>
      <c r="E85" s="8">
        <f>IFERROR('Cash Flow Data'!E17,0)</f>
        <v>2619</v>
      </c>
      <c r="F85" s="8">
        <f>IFERROR('Cash Flow Data'!F17,0)</f>
        <v>3729</v>
      </c>
      <c r="G85" s="8">
        <f>IFERROR('Cash Flow Data'!G17,0)</f>
        <v>2730</v>
      </c>
      <c r="H85" s="8">
        <f>IFERROR('Cash Flow Data'!H17,0)</f>
        <v>2700</v>
      </c>
      <c r="I85" s="8">
        <f>IFERROR('Cash Flow Data'!I17,0)</f>
        <v>3080</v>
      </c>
      <c r="J85" s="8">
        <f>IFERROR('Cash Flow Data'!J17,0)</f>
        <v>2990</v>
      </c>
      <c r="K85" s="8">
        <f>IFERROR('Cash Flow Data'!K17,0)</f>
        <v>3056</v>
      </c>
      <c r="L85" s="8">
        <f>IFERROR('Cash Flow Data'!L17,0)</f>
        <v>3008</v>
      </c>
    </row>
    <row r="86" spans="2:12" x14ac:dyDescent="0.3">
      <c r="B86" t="s">
        <v>128</v>
      </c>
      <c r="C86" s="8">
        <f>IFERROR('Cash Flow Data'!C18,0)</f>
        <v>1</v>
      </c>
      <c r="D86" s="8">
        <f>IFERROR('Cash Flow Data'!D18,0)</f>
        <v>9</v>
      </c>
      <c r="E86" s="8">
        <f>IFERROR('Cash Flow Data'!E18,0)</f>
        <v>18</v>
      </c>
      <c r="F86" s="8">
        <f>IFERROR('Cash Flow Data'!F18,0)</f>
        <v>8</v>
      </c>
      <c r="G86" s="8">
        <f>IFERROR('Cash Flow Data'!G18,0)</f>
        <v>8</v>
      </c>
      <c r="H86" s="8">
        <f>IFERROR('Cash Flow Data'!H18,0)</f>
        <v>4</v>
      </c>
      <c r="I86" s="8">
        <f>IFERROR('Cash Flow Data'!I18,0)</f>
        <v>13</v>
      </c>
      <c r="J86" s="8">
        <f>IFERROR('Cash Flow Data'!J18,0)</f>
        <v>26</v>
      </c>
      <c r="K86" s="8">
        <f>IFERROR('Cash Flow Data'!K18,0)</f>
        <v>40</v>
      </c>
      <c r="L86" s="8">
        <f>IFERROR('Cash Flow Data'!L18,0)</f>
        <v>84</v>
      </c>
    </row>
    <row r="87" spans="2:12" x14ac:dyDescent="0.3">
      <c r="B87" t="s">
        <v>129</v>
      </c>
      <c r="C87" s="8">
        <f>IFERROR('Cash Flow Data'!C19,0)</f>
        <v>0</v>
      </c>
      <c r="D87" s="8">
        <f>IFERROR('Cash Flow Data'!D19,0)</f>
        <v>0</v>
      </c>
      <c r="E87" s="8">
        <f>IFERROR('Cash Flow Data'!E19,0)</f>
        <v>-50</v>
      </c>
      <c r="F87" s="8">
        <f>IFERROR('Cash Flow Data'!F19,0)</f>
        <v>0</v>
      </c>
      <c r="G87" s="8">
        <f>IFERROR('Cash Flow Data'!G19,0)</f>
        <v>0</v>
      </c>
      <c r="H87" s="8">
        <f>IFERROR('Cash Flow Data'!H19,0)</f>
        <v>0</v>
      </c>
      <c r="I87" s="8">
        <f>IFERROR('Cash Flow Data'!I19,0)</f>
        <v>0</v>
      </c>
      <c r="J87" s="8">
        <f>IFERROR('Cash Flow Data'!J19,0)</f>
        <v>0</v>
      </c>
      <c r="K87" s="8">
        <f>IFERROR('Cash Flow Data'!K19,0)</f>
        <v>0</v>
      </c>
      <c r="L87" s="8">
        <f>IFERROR('Cash Flow Data'!L19,0)</f>
        <v>0</v>
      </c>
    </row>
    <row r="88" spans="2:12" x14ac:dyDescent="0.3">
      <c r="B88" t="s">
        <v>130</v>
      </c>
      <c r="C88" s="8">
        <f>IFERROR('Cash Flow Data'!C20,0)</f>
        <v>1619</v>
      </c>
      <c r="D88" s="8">
        <f>IFERROR('Cash Flow Data'!D20,0)</f>
        <v>-2230</v>
      </c>
      <c r="E88" s="8">
        <f>IFERROR('Cash Flow Data'!E20,0)</f>
        <v>-2927</v>
      </c>
      <c r="F88" s="8">
        <f>IFERROR('Cash Flow Data'!F20,0)</f>
        <v>-473</v>
      </c>
      <c r="G88" s="8">
        <f>IFERROR('Cash Flow Data'!G20,0)</f>
        <v>-3058</v>
      </c>
      <c r="H88" s="8">
        <f>IFERROR('Cash Flow Data'!H20,0)</f>
        <v>4879</v>
      </c>
      <c r="I88" s="8">
        <f>IFERROR('Cash Flow Data'!I20,0)</f>
        <v>5361</v>
      </c>
      <c r="J88" s="8">
        <f>IFERROR('Cash Flow Data'!J20,0)</f>
        <v>846</v>
      </c>
      <c r="K88" s="8">
        <f>IFERROR('Cash Flow Data'!K20,0)</f>
        <v>170</v>
      </c>
      <c r="L88" s="8">
        <f>IFERROR('Cash Flow Data'!L20,0)</f>
        <v>0</v>
      </c>
    </row>
    <row r="89" spans="2:12" x14ac:dyDescent="0.3">
      <c r="B89" t="s">
        <v>131</v>
      </c>
      <c r="C89" s="8">
        <f>IFERROR('Cash Flow Data'!C21,0)</f>
        <v>275</v>
      </c>
      <c r="D89" s="8">
        <f>IFERROR('Cash Flow Data'!D21,0)</f>
        <v>-1503</v>
      </c>
      <c r="E89" s="8">
        <f>IFERROR('Cash Flow Data'!E21,0)</f>
        <v>-3265</v>
      </c>
      <c r="F89" s="8">
        <f>IFERROR('Cash Flow Data'!F21,0)</f>
        <v>4705</v>
      </c>
      <c r="G89" s="8">
        <f>IFERROR('Cash Flow Data'!G21,0)</f>
        <v>-1665</v>
      </c>
      <c r="H89" s="8">
        <f>IFERROR('Cash Flow Data'!H21,0)</f>
        <v>-3835</v>
      </c>
      <c r="I89" s="8">
        <f>IFERROR('Cash Flow Data'!I21,0)</f>
        <v>2215</v>
      </c>
      <c r="J89" s="8">
        <f>IFERROR('Cash Flow Data'!J21,0)</f>
        <v>-1314</v>
      </c>
      <c r="K89" s="8">
        <f>IFERROR('Cash Flow Data'!K21,0)</f>
        <v>-3229</v>
      </c>
      <c r="L89" s="8">
        <f>IFERROR('Cash Flow Data'!L21,0)</f>
        <v>-8840</v>
      </c>
    </row>
    <row r="90" spans="2:12" x14ac:dyDescent="0.3">
      <c r="B90" s="26" t="s">
        <v>132</v>
      </c>
      <c r="C90" s="29">
        <f>IFERROR(SUM(C81:C89),0)</f>
        <v>-16895</v>
      </c>
      <c r="D90" s="29">
        <f t="shared" ref="D90:L90" si="25">IFERROR(SUM(D81:D89),0)</f>
        <v>3104</v>
      </c>
      <c r="E90" s="29">
        <f t="shared" si="25"/>
        <v>1645</v>
      </c>
      <c r="F90" s="29">
        <f t="shared" si="25"/>
        <v>8968</v>
      </c>
      <c r="G90" s="29">
        <f t="shared" si="25"/>
        <v>-7956</v>
      </c>
      <c r="H90" s="29">
        <f t="shared" si="25"/>
        <v>-738</v>
      </c>
      <c r="I90" s="29">
        <f t="shared" si="25"/>
        <v>548</v>
      </c>
      <c r="J90" s="29">
        <f t="shared" si="25"/>
        <v>6091</v>
      </c>
      <c r="K90" s="29">
        <f t="shared" si="25"/>
        <v>-2144</v>
      </c>
      <c r="L90" s="29">
        <f t="shared" si="25"/>
        <v>-12845</v>
      </c>
    </row>
    <row r="92" spans="2:12" x14ac:dyDescent="0.3">
      <c r="B92" s="9" t="s">
        <v>133</v>
      </c>
    </row>
    <row r="93" spans="2:12" x14ac:dyDescent="0.3">
      <c r="B93" t="s">
        <v>134</v>
      </c>
      <c r="C93" s="8">
        <f>IFERROR('Cash Flow Data'!C23,0)</f>
        <v>0</v>
      </c>
      <c r="D93" s="8">
        <f>IFERROR('Cash Flow Data'!D23,0)</f>
        <v>0</v>
      </c>
      <c r="E93" s="8">
        <f>IFERROR('Cash Flow Data'!E23,0)</f>
        <v>0</v>
      </c>
      <c r="F93" s="8">
        <f>IFERROR('Cash Flow Data'!F23,0)</f>
        <v>0</v>
      </c>
      <c r="G93" s="8">
        <f>IFERROR('Cash Flow Data'!G23,0)</f>
        <v>0</v>
      </c>
      <c r="H93" s="8">
        <f>IFERROR('Cash Flow Data'!H23,0)</f>
        <v>0</v>
      </c>
      <c r="I93" s="8">
        <f>IFERROR('Cash Flow Data'!I23,0)</f>
        <v>18</v>
      </c>
      <c r="J93" s="8">
        <f>IFERROR('Cash Flow Data'!J23,0)</f>
        <v>425</v>
      </c>
      <c r="K93" s="8">
        <f>IFERROR('Cash Flow Data'!K23,0)</f>
        <v>0</v>
      </c>
      <c r="L93" s="8">
        <f>IFERROR('Cash Flow Data'!L23,0)</f>
        <v>0</v>
      </c>
    </row>
    <row r="94" spans="2:12" x14ac:dyDescent="0.3">
      <c r="B94" t="s">
        <v>135</v>
      </c>
      <c r="C94" s="8">
        <f>IFERROR('Cash Flow Data'!C24,0)</f>
        <v>87</v>
      </c>
      <c r="D94" s="8">
        <f>IFERROR('Cash Flow Data'!D24,0)</f>
        <v>0</v>
      </c>
      <c r="E94" s="8">
        <f>IFERROR('Cash Flow Data'!E24,0)</f>
        <v>0</v>
      </c>
      <c r="F94" s="8">
        <f>IFERROR('Cash Flow Data'!F24,0)</f>
        <v>0</v>
      </c>
      <c r="G94" s="8">
        <f>IFERROR('Cash Flow Data'!G24,0)</f>
        <v>0</v>
      </c>
      <c r="H94" s="8">
        <f>IFERROR('Cash Flow Data'!H24,0)</f>
        <v>0</v>
      </c>
      <c r="I94" s="8">
        <f>IFERROR('Cash Flow Data'!I24,0)</f>
        <v>0</v>
      </c>
      <c r="J94" s="8">
        <f>IFERROR('Cash Flow Data'!J24,0)</f>
        <v>0</v>
      </c>
      <c r="K94" s="8">
        <f>IFERROR('Cash Flow Data'!K24,0)</f>
        <v>0</v>
      </c>
      <c r="L94" s="8">
        <f>IFERROR('Cash Flow Data'!L24,0)</f>
        <v>0</v>
      </c>
    </row>
    <row r="95" spans="2:12" x14ac:dyDescent="0.3">
      <c r="B95" t="s">
        <v>136</v>
      </c>
      <c r="C95" s="8">
        <f>IFERROR('Cash Flow Data'!C25,0)</f>
        <v>0</v>
      </c>
      <c r="D95" s="8">
        <f>IFERROR('Cash Flow Data'!D25,0)</f>
        <v>-19</v>
      </c>
      <c r="E95" s="8">
        <f>IFERROR('Cash Flow Data'!E25,0)</f>
        <v>-181</v>
      </c>
      <c r="F95" s="8">
        <f>IFERROR('Cash Flow Data'!F25,0)</f>
        <v>0</v>
      </c>
      <c r="G95" s="8">
        <f>IFERROR('Cash Flow Data'!G25,0)</f>
        <v>0</v>
      </c>
      <c r="H95" s="8">
        <f>IFERROR('Cash Flow Data'!H25,0)</f>
        <v>0</v>
      </c>
      <c r="I95" s="8">
        <f>IFERROR('Cash Flow Data'!I25,0)</f>
        <v>0</v>
      </c>
      <c r="J95" s="8">
        <f>IFERROR('Cash Flow Data'!J25,0)</f>
        <v>0</v>
      </c>
      <c r="K95" s="8">
        <f>IFERROR('Cash Flow Data'!K25,0)</f>
        <v>0</v>
      </c>
      <c r="L95" s="8">
        <f>IFERROR('Cash Flow Data'!L25,0)</f>
        <v>0</v>
      </c>
    </row>
    <row r="96" spans="2:12" x14ac:dyDescent="0.3">
      <c r="B96" t="s">
        <v>74</v>
      </c>
      <c r="C96" s="8">
        <f>IFERROR('Cash Flow Data'!C26,0)</f>
        <v>-20</v>
      </c>
      <c r="D96" s="8">
        <f>IFERROR('Cash Flow Data'!D26,0)</f>
        <v>-40</v>
      </c>
      <c r="E96" s="8">
        <f>IFERROR('Cash Flow Data'!E26,0)</f>
        <v>-186</v>
      </c>
      <c r="F96" s="8">
        <f>IFERROR('Cash Flow Data'!F26,0)</f>
        <v>-924</v>
      </c>
      <c r="G96" s="8">
        <f>IFERROR('Cash Flow Data'!G26,0)</f>
        <v>-634</v>
      </c>
      <c r="H96" s="8">
        <f>IFERROR('Cash Flow Data'!H26,0)</f>
        <v>-698</v>
      </c>
      <c r="I96" s="8">
        <f>IFERROR('Cash Flow Data'!I26,0)</f>
        <v>-779</v>
      </c>
      <c r="J96" s="8">
        <f>IFERROR('Cash Flow Data'!J26,0)</f>
        <v>-699</v>
      </c>
      <c r="K96" s="8">
        <f>IFERROR('Cash Flow Data'!K26,0)</f>
        <v>-840</v>
      </c>
      <c r="L96" s="8">
        <f>IFERROR('Cash Flow Data'!L26,0)</f>
        <v>-901</v>
      </c>
    </row>
    <row r="97" spans="2:12" x14ac:dyDescent="0.3">
      <c r="B97" t="s">
        <v>138</v>
      </c>
      <c r="C97" s="8">
        <f>IFERROR('Cash Flow Data'!C27,0)</f>
        <v>-10973</v>
      </c>
      <c r="D97" s="8">
        <f>IFERROR('Cash Flow Data'!D27,0)</f>
        <v>-10760</v>
      </c>
      <c r="E97" s="8">
        <f>IFERROR('Cash Flow Data'!E27,0)</f>
        <v>-11472</v>
      </c>
      <c r="F97" s="8">
        <f>IFERROR('Cash Flow Data'!F27,0)</f>
        <v>-37702</v>
      </c>
      <c r="G97" s="8">
        <f>IFERROR('Cash Flow Data'!G27,0)</f>
        <v>-10907</v>
      </c>
      <c r="H97" s="8">
        <f>IFERROR('Cash Flow Data'!H27,0)</f>
        <v>-13375</v>
      </c>
      <c r="I97" s="8">
        <f>IFERROR('Cash Flow Data'!I27,0)</f>
        <v>-41410</v>
      </c>
      <c r="J97" s="8">
        <f>IFERROR('Cash Flow Data'!J27,0)</f>
        <v>-25218</v>
      </c>
      <c r="K97" s="8">
        <f>IFERROR('Cash Flow Data'!K27,0)</f>
        <v>-44962</v>
      </c>
      <c r="L97" s="8">
        <f>IFERROR('Cash Flow Data'!L27,0)</f>
        <v>-39571</v>
      </c>
    </row>
    <row r="98" spans="2:12" x14ac:dyDescent="0.3">
      <c r="B98" t="s">
        <v>137</v>
      </c>
      <c r="C98" s="8">
        <f>IFERROR('Cash Flow Data'!C28,0)</f>
        <v>-66</v>
      </c>
      <c r="D98" s="8">
        <f>IFERROR('Cash Flow Data'!D28,0)</f>
        <v>-24</v>
      </c>
      <c r="E98" s="8">
        <f>IFERROR('Cash Flow Data'!E28,0)</f>
        <v>-13</v>
      </c>
      <c r="F98" s="8">
        <f>IFERROR('Cash Flow Data'!F28,0)</f>
        <v>-1062</v>
      </c>
      <c r="G98" s="8">
        <f>IFERROR('Cash Flow Data'!G28,0)</f>
        <v>-1336</v>
      </c>
      <c r="H98" s="8">
        <f>IFERROR('Cash Flow Data'!H28,0)</f>
        <v>-1417</v>
      </c>
      <c r="I98" s="8">
        <f>IFERROR('Cash Flow Data'!I28,0)</f>
        <v>-1515</v>
      </c>
      <c r="J98" s="8">
        <f>IFERROR('Cash Flow Data'!J28,0)</f>
        <v>-1614</v>
      </c>
      <c r="K98" s="8">
        <f>IFERROR('Cash Flow Data'!K28,0)</f>
        <v>-1664</v>
      </c>
      <c r="L98" s="8">
        <f>IFERROR('Cash Flow Data'!L28,0)</f>
        <v>-1861</v>
      </c>
    </row>
    <row r="99" spans="2:12" x14ac:dyDescent="0.3">
      <c r="B99" t="s">
        <v>139</v>
      </c>
      <c r="C99" s="8">
        <f>IFERROR('Cash Flow Data'!C29,0)</f>
        <v>-54</v>
      </c>
      <c r="D99" s="8">
        <f>IFERROR('Cash Flow Data'!D29,0)</f>
        <v>-16042</v>
      </c>
      <c r="E99" s="8">
        <f>IFERROR('Cash Flow Data'!E29,0)</f>
        <v>-16045</v>
      </c>
      <c r="F99" s="8">
        <f>IFERROR('Cash Flow Data'!F29,0)</f>
        <v>-227</v>
      </c>
      <c r="G99" s="8">
        <f>IFERROR('Cash Flow Data'!G29,0)</f>
        <v>-19757</v>
      </c>
      <c r="H99" s="8">
        <f>IFERROR('Cash Flow Data'!H29,0)</f>
        <v>-18091</v>
      </c>
      <c r="I99" s="8">
        <f>IFERROR('Cash Flow Data'!I29,0)</f>
        <v>-4192</v>
      </c>
      <c r="J99" s="8">
        <f>IFERROR('Cash Flow Data'!J29,0)</f>
        <v>-21430</v>
      </c>
      <c r="K99" s="8">
        <f>IFERROR('Cash Flow Data'!K29,0)</f>
        <v>28</v>
      </c>
      <c r="L99" s="8">
        <f>IFERROR('Cash Flow Data'!L29,0)</f>
        <v>200</v>
      </c>
    </row>
    <row r="100" spans="2:12" x14ac:dyDescent="0.3">
      <c r="B100" s="26" t="s">
        <v>140</v>
      </c>
      <c r="C100" s="29">
        <f>SUM(C93:C99)</f>
        <v>-11026</v>
      </c>
      <c r="D100" s="29">
        <f t="shared" ref="D100:L100" si="26">SUM(D93:D99)</f>
        <v>-26885</v>
      </c>
      <c r="E100" s="29">
        <f t="shared" si="26"/>
        <v>-27897</v>
      </c>
      <c r="F100" s="29">
        <f t="shared" si="26"/>
        <v>-39915</v>
      </c>
      <c r="G100" s="29">
        <f t="shared" si="26"/>
        <v>-32634</v>
      </c>
      <c r="H100" s="29">
        <f t="shared" si="26"/>
        <v>-33581</v>
      </c>
      <c r="I100" s="29">
        <f t="shared" si="26"/>
        <v>-47878</v>
      </c>
      <c r="J100" s="29">
        <f t="shared" si="26"/>
        <v>-48536</v>
      </c>
      <c r="K100" s="29">
        <f t="shared" si="26"/>
        <v>-47438</v>
      </c>
      <c r="L100" s="29">
        <f t="shared" si="26"/>
        <v>-42133</v>
      </c>
    </row>
    <row r="102" spans="2:12" ht="15" thickBot="1" x14ac:dyDescent="0.35">
      <c r="B102" s="30" t="s">
        <v>20</v>
      </c>
      <c r="C102" s="31">
        <f>IFERROR(SUM(C78+C90+C100),0)</f>
        <v>-2698</v>
      </c>
      <c r="D102" s="31">
        <f t="shared" ref="D102:L102" si="27">IFERROR(SUM(D78+D90+D100),0)</f>
        <v>1286</v>
      </c>
      <c r="E102" s="31">
        <f t="shared" si="27"/>
        <v>2341</v>
      </c>
      <c r="F102" s="31">
        <f t="shared" si="27"/>
        <v>1422</v>
      </c>
      <c r="G102" s="31">
        <f t="shared" si="27"/>
        <v>-1788</v>
      </c>
      <c r="H102" s="31">
        <f t="shared" si="27"/>
        <v>5630</v>
      </c>
      <c r="I102" s="31">
        <f t="shared" si="27"/>
        <v>-5365</v>
      </c>
      <c r="J102" s="31">
        <f t="shared" si="27"/>
        <v>1893</v>
      </c>
      <c r="K102" s="31">
        <f t="shared" si="27"/>
        <v>-674</v>
      </c>
      <c r="L102" s="31">
        <f t="shared" si="27"/>
        <v>-2884</v>
      </c>
    </row>
  </sheetData>
  <mergeCells count="1">
    <mergeCell ref="B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F8E3-C212-4DA6-925D-94AAF1F030B1}">
  <dimension ref="B2:O18"/>
  <sheetViews>
    <sheetView showGridLines="0" workbookViewId="0">
      <selection activeCell="D15" sqref="D15"/>
    </sheetView>
  </sheetViews>
  <sheetFormatPr defaultRowHeight="14.4" x14ac:dyDescent="0.3"/>
  <cols>
    <col min="1" max="1" width="1.88671875" customWidth="1"/>
    <col min="2" max="2" width="12.33203125" customWidth="1"/>
    <col min="3" max="3" width="15.88671875" customWidth="1"/>
    <col min="4" max="4" width="10.21875" customWidth="1"/>
    <col min="5" max="5" width="13.88671875" customWidth="1"/>
    <col min="7" max="7" width="12.77734375" customWidth="1"/>
    <col min="8" max="8" width="15.109375" customWidth="1"/>
    <col min="9" max="9" width="14.109375" customWidth="1"/>
    <col min="10" max="10" width="10.6640625" customWidth="1"/>
    <col min="12" max="12" width="13.109375" customWidth="1"/>
    <col min="13" max="13" width="12.44140625" customWidth="1"/>
    <col min="14" max="14" width="12.88671875" customWidth="1"/>
    <col min="15" max="15" width="12.21875" customWidth="1"/>
  </cols>
  <sheetData>
    <row r="2" spans="2:15" x14ac:dyDescent="0.3">
      <c r="B2" s="74" t="str">
        <f>'Data Sheet'!$B$1&amp;" - "&amp;'Data Sheet'!A17&amp;" Forecasting"</f>
        <v>TATA CONSULTANCY SERVICES LTD - Sales Forecasting</v>
      </c>
      <c r="C2" s="74"/>
      <c r="D2" s="74"/>
      <c r="E2" s="74"/>
      <c r="G2" s="75" t="str">
        <f>'Data Sheet'!$B$1&amp;" - "&amp;'Data Sheet'!A33&amp;" Forecasting"</f>
        <v>TATA CONSULTANCY SERVICES LTD - EBITDA Forecasting</v>
      </c>
      <c r="H2" s="75"/>
      <c r="I2" s="75"/>
      <c r="J2" s="75"/>
      <c r="L2" s="75" t="str">
        <f>'Data Sheet'!$B$1&amp;" - "&amp;HistoricalFS!B38&amp;" Forecasting"</f>
        <v>TATA CONSULTANCY SERVICES LTD - Earnings Per Share Forecasting</v>
      </c>
      <c r="M2" s="75"/>
      <c r="N2" s="75"/>
      <c r="O2" s="75"/>
    </row>
    <row r="3" spans="2:15" x14ac:dyDescent="0.3">
      <c r="B3" s="33" t="s">
        <v>141</v>
      </c>
      <c r="C3" s="36" t="s">
        <v>142</v>
      </c>
      <c r="D3" s="36" t="s">
        <v>143</v>
      </c>
      <c r="E3" s="36" t="s">
        <v>101</v>
      </c>
      <c r="G3" s="33" t="s">
        <v>141</v>
      </c>
      <c r="H3" s="36" t="s">
        <v>142</v>
      </c>
      <c r="I3" s="36" t="s">
        <v>57</v>
      </c>
      <c r="J3" s="36" t="s">
        <v>144</v>
      </c>
      <c r="L3" s="33" t="s">
        <v>141</v>
      </c>
      <c r="M3" s="36" t="s">
        <v>142</v>
      </c>
      <c r="N3" s="36" t="s">
        <v>145</v>
      </c>
      <c r="O3" s="36" t="s">
        <v>146</v>
      </c>
    </row>
    <row r="4" spans="2:15" x14ac:dyDescent="0.3">
      <c r="B4" s="34">
        <v>1</v>
      </c>
      <c r="C4" s="37">
        <f>'Data Sheet'!B16</f>
        <v>42825</v>
      </c>
      <c r="D4" s="38">
        <f t="array" ref="D4:D13">TRANSPOSE('Data Sheet'!B17:K17)</f>
        <v>117966</v>
      </c>
      <c r="E4" s="24"/>
      <c r="G4" s="34">
        <v>1</v>
      </c>
      <c r="H4" s="37">
        <f>C4</f>
        <v>42825</v>
      </c>
      <c r="I4" s="43">
        <f t="array" ref="I4:I13">TRANSPOSE('Data Sheet'!B33:K33)</f>
        <v>36464</v>
      </c>
      <c r="J4" s="24"/>
      <c r="L4" s="34">
        <v>1</v>
      </c>
      <c r="M4" s="37">
        <f t="shared" ref="M4:M13" si="0">H4</f>
        <v>42825</v>
      </c>
      <c r="N4" s="45">
        <f t="array" ref="N4:N13">TRANSPOSE(HistoricalFS!C38:L38)</f>
        <v>56.405897130097188</v>
      </c>
      <c r="O4" s="24"/>
    </row>
    <row r="5" spans="2:15" x14ac:dyDescent="0.3">
      <c r="B5" s="34">
        <f>B4+1</f>
        <v>2</v>
      </c>
      <c r="C5" s="37">
        <f>C4+365</f>
        <v>43190</v>
      </c>
      <c r="D5" s="38">
        <v>123104</v>
      </c>
      <c r="E5" s="39">
        <f>D5/D4-1</f>
        <v>4.3554922604818413E-2</v>
      </c>
      <c r="G5" s="34">
        <f>G4+1</f>
        <v>2</v>
      </c>
      <c r="H5" s="37">
        <f>C5</f>
        <v>43190</v>
      </c>
      <c r="I5" s="43">
        <v>36104</v>
      </c>
      <c r="J5" s="39">
        <f>I5/I4-1</f>
        <v>-9.8727512066696388E-3</v>
      </c>
      <c r="L5" s="34">
        <f>L4+1</f>
        <v>2</v>
      </c>
      <c r="M5" s="37">
        <f t="shared" si="0"/>
        <v>43190</v>
      </c>
      <c r="N5" s="45">
        <v>58.308520085670999</v>
      </c>
      <c r="O5" s="39">
        <f>N5/N4-1</f>
        <v>3.3730922693872012E-2</v>
      </c>
    </row>
    <row r="6" spans="2:15" x14ac:dyDescent="0.3">
      <c r="B6" s="34">
        <f t="shared" ref="B6:B18" si="1">B5+1</f>
        <v>3</v>
      </c>
      <c r="C6" s="37">
        <f t="shared" ref="C6:C18" si="2">C5+365</f>
        <v>43555</v>
      </c>
      <c r="D6" s="38">
        <v>146463</v>
      </c>
      <c r="E6" s="39">
        <f t="shared" ref="E6:E18" si="3">D6/D5-1</f>
        <v>0.18975012997140639</v>
      </c>
      <c r="G6" s="34">
        <f t="shared" ref="G6:G18" si="4">G5+1</f>
        <v>3</v>
      </c>
      <c r="H6" s="37">
        <f>C6</f>
        <v>43555</v>
      </c>
      <c r="I6" s="43">
        <v>43727</v>
      </c>
      <c r="J6" s="39">
        <f t="shared" ref="J6:J18" si="5">I6/I5-1</f>
        <v>0.21114003988477736</v>
      </c>
      <c r="L6" s="34">
        <f t="shared" ref="L6:L18" si="6">L5+1</f>
        <v>3</v>
      </c>
      <c r="M6" s="37">
        <f t="shared" si="0"/>
        <v>43555</v>
      </c>
      <c r="N6" s="45">
        <v>72.72945314998401</v>
      </c>
      <c r="O6" s="39">
        <f t="shared" ref="O6:O18" si="7">N6/N5-1</f>
        <v>0.24732119839647382</v>
      </c>
    </row>
    <row r="7" spans="2:15" x14ac:dyDescent="0.3">
      <c r="B7" s="34">
        <f t="shared" si="1"/>
        <v>4</v>
      </c>
      <c r="C7" s="37">
        <f t="shared" si="2"/>
        <v>43920</v>
      </c>
      <c r="D7" s="38">
        <v>156949</v>
      </c>
      <c r="E7" s="39">
        <f t="shared" si="3"/>
        <v>7.1594873790650215E-2</v>
      </c>
      <c r="G7" s="34">
        <f t="shared" si="4"/>
        <v>4</v>
      </c>
      <c r="H7" s="37">
        <f t="shared" ref="H7:H18" si="8">C7</f>
        <v>43920</v>
      </c>
      <c r="I7" s="43">
        <v>46594</v>
      </c>
      <c r="J7" s="39">
        <f t="shared" si="5"/>
        <v>6.5565897500400316E-2</v>
      </c>
      <c r="L7" s="34">
        <f t="shared" si="6"/>
        <v>4</v>
      </c>
      <c r="M7" s="37">
        <f t="shared" si="0"/>
        <v>43920</v>
      </c>
      <c r="N7" s="45">
        <v>74.280460505276622</v>
      </c>
      <c r="O7" s="39">
        <f t="shared" si="7"/>
        <v>2.1325711773112044E-2</v>
      </c>
    </row>
    <row r="8" spans="2:15" x14ac:dyDescent="0.3">
      <c r="B8" s="34">
        <f t="shared" si="1"/>
        <v>5</v>
      </c>
      <c r="C8" s="37">
        <f t="shared" si="2"/>
        <v>44285</v>
      </c>
      <c r="D8" s="38">
        <v>164177</v>
      </c>
      <c r="E8" s="39">
        <f t="shared" si="3"/>
        <v>4.6053176509566862E-2</v>
      </c>
      <c r="G8" s="34">
        <f t="shared" si="4"/>
        <v>5</v>
      </c>
      <c r="H8" s="37">
        <f t="shared" si="8"/>
        <v>44285</v>
      </c>
      <c r="I8" s="43">
        <v>48330</v>
      </c>
      <c r="J8" s="39">
        <f t="shared" si="5"/>
        <v>3.7258016053569154E-2</v>
      </c>
      <c r="L8" s="34">
        <f t="shared" si="6"/>
        <v>5</v>
      </c>
      <c r="M8" s="37">
        <f t="shared" si="0"/>
        <v>44285</v>
      </c>
      <c r="N8" s="45">
        <v>82.885026087426667</v>
      </c>
      <c r="O8" s="39">
        <f t="shared" si="7"/>
        <v>0.11583888311433932</v>
      </c>
    </row>
    <row r="9" spans="2:15" x14ac:dyDescent="0.3">
      <c r="B9" s="34">
        <f t="shared" si="1"/>
        <v>6</v>
      </c>
      <c r="C9" s="37">
        <f t="shared" si="2"/>
        <v>44650</v>
      </c>
      <c r="D9" s="38">
        <v>191754</v>
      </c>
      <c r="E9" s="39">
        <f t="shared" si="3"/>
        <v>0.1679711530847805</v>
      </c>
      <c r="G9" s="34">
        <f t="shared" si="4"/>
        <v>6</v>
      </c>
      <c r="H9" s="37">
        <f t="shared" si="8"/>
        <v>44650</v>
      </c>
      <c r="I9" s="43">
        <v>56953</v>
      </c>
      <c r="J9" s="39">
        <f t="shared" si="5"/>
        <v>0.17841920132422917</v>
      </c>
      <c r="L9" s="34">
        <f t="shared" si="6"/>
        <v>6</v>
      </c>
      <c r="M9" s="37">
        <f t="shared" si="0"/>
        <v>44650</v>
      </c>
      <c r="N9" s="45">
        <v>94.176163537481884</v>
      </c>
      <c r="O9" s="39">
        <f t="shared" si="7"/>
        <v>0.13622650535387892</v>
      </c>
    </row>
    <row r="10" spans="2:15" x14ac:dyDescent="0.3">
      <c r="B10" s="34">
        <f t="shared" si="1"/>
        <v>7</v>
      </c>
      <c r="C10" s="37">
        <f t="shared" si="2"/>
        <v>45015</v>
      </c>
      <c r="D10" s="38">
        <v>225458</v>
      </c>
      <c r="E10" s="39">
        <f t="shared" si="3"/>
        <v>0.17576686796624852</v>
      </c>
      <c r="G10" s="34">
        <f t="shared" si="4"/>
        <v>7</v>
      </c>
      <c r="H10" s="37">
        <f t="shared" si="8"/>
        <v>45015</v>
      </c>
      <c r="I10" s="43">
        <v>62552</v>
      </c>
      <c r="J10" s="39">
        <f t="shared" si="5"/>
        <v>9.8309132091373597E-2</v>
      </c>
      <c r="L10" s="34">
        <f t="shared" si="6"/>
        <v>7</v>
      </c>
      <c r="M10" s="37">
        <f t="shared" si="0"/>
        <v>45015</v>
      </c>
      <c r="N10" s="45">
        <v>106.28569866907162</v>
      </c>
      <c r="O10" s="39">
        <f t="shared" si="7"/>
        <v>0.12858386535113175</v>
      </c>
    </row>
    <row r="11" spans="2:15" x14ac:dyDescent="0.3">
      <c r="B11" s="34">
        <f t="shared" si="1"/>
        <v>8</v>
      </c>
      <c r="C11" s="37">
        <f t="shared" si="2"/>
        <v>45380</v>
      </c>
      <c r="D11" s="38">
        <v>240893</v>
      </c>
      <c r="E11" s="39">
        <f t="shared" si="3"/>
        <v>6.8460644554639849E-2</v>
      </c>
      <c r="G11" s="34">
        <f t="shared" si="4"/>
        <v>8</v>
      </c>
      <c r="H11" s="37">
        <f t="shared" si="8"/>
        <v>45380</v>
      </c>
      <c r="I11" s="43">
        <v>67569</v>
      </c>
      <c r="J11" s="39">
        <f t="shared" si="5"/>
        <v>8.0205269216012232E-2</v>
      </c>
      <c r="L11" s="34">
        <f t="shared" si="6"/>
        <v>8</v>
      </c>
      <c r="M11" s="37">
        <f t="shared" si="0"/>
        <v>45380</v>
      </c>
      <c r="N11" s="45">
        <v>117.95417484314972</v>
      </c>
      <c r="O11" s="39">
        <f t="shared" si="7"/>
        <v>0.10978406615558645</v>
      </c>
    </row>
    <row r="12" spans="2:15" x14ac:dyDescent="0.3">
      <c r="B12" s="34">
        <f t="shared" si="1"/>
        <v>9</v>
      </c>
      <c r="C12" s="37">
        <f t="shared" si="2"/>
        <v>45745</v>
      </c>
      <c r="D12" s="38">
        <v>255324</v>
      </c>
      <c r="E12" s="39">
        <f t="shared" si="3"/>
        <v>5.9906265437351891E-2</v>
      </c>
      <c r="G12" s="34">
        <f t="shared" si="4"/>
        <v>9</v>
      </c>
      <c r="H12" s="37">
        <f t="shared" si="8"/>
        <v>45745</v>
      </c>
      <c r="I12" s="43">
        <v>71125</v>
      </c>
      <c r="J12" s="39">
        <f t="shared" si="5"/>
        <v>5.2627684293093058E-2</v>
      </c>
      <c r="L12" s="34">
        <f t="shared" si="6"/>
        <v>9</v>
      </c>
      <c r="M12" s="37">
        <f t="shared" si="0"/>
        <v>45745</v>
      </c>
      <c r="N12" s="45">
        <v>124.05406152400431</v>
      </c>
      <c r="O12" s="39">
        <f t="shared" si="7"/>
        <v>5.1714038006420271E-2</v>
      </c>
    </row>
    <row r="13" spans="2:15" x14ac:dyDescent="0.3">
      <c r="B13" s="34">
        <f t="shared" si="1"/>
        <v>10</v>
      </c>
      <c r="C13" s="37">
        <f t="shared" si="2"/>
        <v>46110</v>
      </c>
      <c r="D13" s="38">
        <v>267021</v>
      </c>
      <c r="E13" s="39">
        <f t="shared" si="3"/>
        <v>4.581237956478823E-2</v>
      </c>
      <c r="G13" s="34">
        <f t="shared" si="4"/>
        <v>10</v>
      </c>
      <c r="H13" s="37">
        <f t="shared" si="8"/>
        <v>46110</v>
      </c>
      <c r="I13" s="43">
        <v>72030</v>
      </c>
      <c r="J13" s="39">
        <f t="shared" si="5"/>
        <v>1.2724077328646777E-2</v>
      </c>
      <c r="L13" s="34">
        <f t="shared" si="6"/>
        <v>10</v>
      </c>
      <c r="M13" s="37">
        <f t="shared" si="0"/>
        <v>46110</v>
      </c>
      <c r="N13" s="45">
        <v>137.14656864099942</v>
      </c>
      <c r="O13" s="39">
        <f t="shared" si="7"/>
        <v>0.10553872203903403</v>
      </c>
    </row>
    <row r="14" spans="2:15" x14ac:dyDescent="0.3">
      <c r="B14" s="35">
        <f t="shared" si="1"/>
        <v>11</v>
      </c>
      <c r="C14" s="40">
        <f t="shared" si="2"/>
        <v>46475</v>
      </c>
      <c r="D14" s="41">
        <f>FORECAST(B14,$D$4:$D$13,$B$4:$B$13)</f>
        <v>287987.19999999995</v>
      </c>
      <c r="E14" s="42">
        <f t="shared" si="3"/>
        <v>7.8518917987723702E-2</v>
      </c>
      <c r="G14" s="35">
        <f t="shared" si="4"/>
        <v>11</v>
      </c>
      <c r="H14" s="44">
        <f t="shared" si="8"/>
        <v>46475</v>
      </c>
      <c r="I14" s="41">
        <f>FORECAST(G14,$I$4:$I$13,$G$4:$G$13)</f>
        <v>78843.06666666668</v>
      </c>
      <c r="J14" s="42">
        <f t="shared" si="5"/>
        <v>9.4586514878060246E-2</v>
      </c>
      <c r="L14" s="35">
        <f t="shared" si="6"/>
        <v>11</v>
      </c>
      <c r="M14" s="44">
        <f t="shared" ref="M14:M18" si="9">H14</f>
        <v>46475</v>
      </c>
      <c r="N14" s="41">
        <f>FORECAST(L14,$N$4:$N$13,$L$4:$L$13)</f>
        <v>143.0997788864403</v>
      </c>
      <c r="O14" s="42">
        <f t="shared" si="7"/>
        <v>4.3407649964792405E-2</v>
      </c>
    </row>
    <row r="15" spans="2:15" x14ac:dyDescent="0.3">
      <c r="B15" s="35">
        <f t="shared" si="1"/>
        <v>12</v>
      </c>
      <c r="C15" s="40">
        <f t="shared" si="2"/>
        <v>46840</v>
      </c>
      <c r="D15" s="41">
        <f t="shared" ref="D15:D18" si="10">FORECAST(B15,$D$4:$D$13,$B$4:$B$13)</f>
        <v>306001.07272727275</v>
      </c>
      <c r="E15" s="42">
        <f t="shared" si="3"/>
        <v>6.2550949234107645E-2</v>
      </c>
      <c r="G15" s="35">
        <f t="shared" si="4"/>
        <v>12</v>
      </c>
      <c r="H15" s="44">
        <f t="shared" si="8"/>
        <v>46840</v>
      </c>
      <c r="I15" s="41">
        <f t="shared" ref="I15:I18" si="11">FORECAST(G15,$I$4:$I$13,$G$4:$G$13)</f>
        <v>83333.660606060614</v>
      </c>
      <c r="J15" s="42">
        <f t="shared" si="5"/>
        <v>5.6956104439459532E-2</v>
      </c>
      <c r="L15" s="35">
        <f t="shared" si="6"/>
        <v>12</v>
      </c>
      <c r="M15" s="44">
        <f t="shared" si="9"/>
        <v>46840</v>
      </c>
      <c r="N15" s="41">
        <f t="shared" ref="N15:N18" si="12">FORECAST(L15,$N$4:$N$13,$L$4:$L$13)</f>
        <v>152.31381097173559</v>
      </c>
      <c r="O15" s="42">
        <f t="shared" si="7"/>
        <v>6.4388863190398604E-2</v>
      </c>
    </row>
    <row r="16" spans="2:15" x14ac:dyDescent="0.3">
      <c r="B16" s="35">
        <f t="shared" si="1"/>
        <v>13</v>
      </c>
      <c r="C16" s="40">
        <f t="shared" si="2"/>
        <v>47205</v>
      </c>
      <c r="D16" s="41">
        <f t="shared" si="10"/>
        <v>324014.94545454544</v>
      </c>
      <c r="E16" s="42">
        <f t="shared" si="3"/>
        <v>5.8868658749205771E-2</v>
      </c>
      <c r="G16" s="35">
        <f t="shared" si="4"/>
        <v>13</v>
      </c>
      <c r="H16" s="44">
        <f t="shared" si="8"/>
        <v>47205</v>
      </c>
      <c r="I16" s="41">
        <f t="shared" si="11"/>
        <v>87824.254545454547</v>
      </c>
      <c r="J16" s="42">
        <f t="shared" si="5"/>
        <v>5.3886915644113076E-2</v>
      </c>
      <c r="L16" s="35">
        <f t="shared" si="6"/>
        <v>13</v>
      </c>
      <c r="M16" s="44">
        <f t="shared" si="9"/>
        <v>47205</v>
      </c>
      <c r="N16" s="41">
        <f t="shared" si="12"/>
        <v>161.52784305703088</v>
      </c>
      <c r="O16" s="42">
        <f t="shared" si="7"/>
        <v>6.0493740039142763E-2</v>
      </c>
    </row>
    <row r="17" spans="2:15" x14ac:dyDescent="0.3">
      <c r="B17" s="35">
        <f t="shared" si="1"/>
        <v>14</v>
      </c>
      <c r="C17" s="40">
        <f t="shared" si="2"/>
        <v>47570</v>
      </c>
      <c r="D17" s="41">
        <f>FORECAST(B17,$D$4:$D$13,$B$4:$B$13)</f>
        <v>342028.81818181818</v>
      </c>
      <c r="E17" s="42">
        <f t="shared" si="3"/>
        <v>5.5595808094598631E-2</v>
      </c>
      <c r="G17" s="35">
        <f t="shared" si="4"/>
        <v>14</v>
      </c>
      <c r="H17" s="44">
        <f t="shared" si="8"/>
        <v>47570</v>
      </c>
      <c r="I17" s="41">
        <f t="shared" si="11"/>
        <v>92314.84848484848</v>
      </c>
      <c r="J17" s="42">
        <f t="shared" si="5"/>
        <v>5.1131591866456105E-2</v>
      </c>
      <c r="L17" s="35">
        <f t="shared" si="6"/>
        <v>14</v>
      </c>
      <c r="M17" s="44">
        <f t="shared" si="9"/>
        <v>47570</v>
      </c>
      <c r="N17" s="41">
        <f t="shared" si="12"/>
        <v>170.74187514232614</v>
      </c>
      <c r="O17" s="42">
        <f t="shared" si="7"/>
        <v>5.7042995875590696E-2</v>
      </c>
    </row>
    <row r="18" spans="2:15" x14ac:dyDescent="0.3">
      <c r="B18" s="35">
        <f t="shared" si="1"/>
        <v>15</v>
      </c>
      <c r="C18" s="40">
        <f t="shared" si="2"/>
        <v>47935</v>
      </c>
      <c r="D18" s="41">
        <f t="shared" si="10"/>
        <v>360042.69090909092</v>
      </c>
      <c r="E18" s="42">
        <f t="shared" si="3"/>
        <v>5.2667704502305401E-2</v>
      </c>
      <c r="G18" s="35">
        <f t="shared" si="4"/>
        <v>15</v>
      </c>
      <c r="H18" s="44">
        <f t="shared" si="8"/>
        <v>47935</v>
      </c>
      <c r="I18" s="41">
        <f t="shared" si="11"/>
        <v>96805.442424242443</v>
      </c>
      <c r="J18" s="42">
        <f t="shared" si="5"/>
        <v>4.8644329846146084E-2</v>
      </c>
      <c r="L18" s="35">
        <f t="shared" si="6"/>
        <v>15</v>
      </c>
      <c r="M18" s="44">
        <f t="shared" si="9"/>
        <v>47935</v>
      </c>
      <c r="N18" s="41">
        <f t="shared" si="12"/>
        <v>179.95590722762142</v>
      </c>
      <c r="O18" s="42">
        <f t="shared" si="7"/>
        <v>5.3964688378962178E-2</v>
      </c>
    </row>
  </sheetData>
  <mergeCells count="3">
    <mergeCell ref="B2:E2"/>
    <mergeCell ref="G2:J2"/>
    <mergeCell ref="L2:O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F511-8B15-4A96-B8F0-5431CE27E4AF}">
  <dimension ref="B2:O4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30" sqref="K30"/>
    </sheetView>
  </sheetViews>
  <sheetFormatPr defaultRowHeight="14.4" x14ac:dyDescent="0.3"/>
  <cols>
    <col min="1" max="1" width="1.88671875" customWidth="1"/>
    <col min="2" max="2" width="27" bestFit="1" customWidth="1"/>
    <col min="3" max="3" width="9" bestFit="1" customWidth="1"/>
    <col min="4" max="6" width="10" bestFit="1" customWidth="1"/>
    <col min="7" max="8" width="9.6640625" bestFit="1" customWidth="1"/>
    <col min="9" max="10" width="8.6640625" bestFit="1" customWidth="1"/>
    <col min="11" max="11" width="9.44140625" bestFit="1" customWidth="1"/>
    <col min="12" max="12" width="9.6640625" bestFit="1" customWidth="1"/>
    <col min="14" max="14" width="10" bestFit="1" customWidth="1"/>
  </cols>
  <sheetData>
    <row r="2" spans="2:15" x14ac:dyDescent="0.3">
      <c r="B2" s="73" t="str">
        <f>"Ratio Analysis - "&amp;'Data Sheet'!B1</f>
        <v>Ratio Analysis - TATA CONSULTANCY SERVICES LTD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2:15" x14ac:dyDescent="0.3">
      <c r="B3" s="46" t="s">
        <v>54</v>
      </c>
      <c r="C3" s="47">
        <f>'Data Sheet'!B16</f>
        <v>42825</v>
      </c>
      <c r="D3" s="47">
        <f>'Data Sheet'!C16</f>
        <v>43190</v>
      </c>
      <c r="E3" s="47">
        <f>'Data Sheet'!D16</f>
        <v>43555</v>
      </c>
      <c r="F3" s="47">
        <f>'Data Sheet'!E16</f>
        <v>43921</v>
      </c>
      <c r="G3" s="47">
        <f>'Data Sheet'!F16</f>
        <v>44286</v>
      </c>
      <c r="H3" s="47">
        <f>'Data Sheet'!G16</f>
        <v>44651</v>
      </c>
      <c r="I3" s="47">
        <f>'Data Sheet'!H16</f>
        <v>45016</v>
      </c>
      <c r="J3" s="47">
        <f>'Data Sheet'!I16</f>
        <v>45382</v>
      </c>
      <c r="K3" s="47">
        <f>'Data Sheet'!J16</f>
        <v>45747</v>
      </c>
      <c r="L3" s="47">
        <f>'Data Sheet'!K16</f>
        <v>46112</v>
      </c>
      <c r="M3" s="48" t="s">
        <v>147</v>
      </c>
      <c r="N3" s="48" t="s">
        <v>148</v>
      </c>
      <c r="O3" s="48" t="s">
        <v>149</v>
      </c>
    </row>
    <row r="4" spans="2:15" x14ac:dyDescent="0.3">
      <c r="B4" s="3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2:15" x14ac:dyDescent="0.3">
      <c r="B5" s="51" t="s">
        <v>101</v>
      </c>
      <c r="C5" s="52" t="str">
        <f>IFERROR(HistoricalFS!C7,0)</f>
        <v>-</v>
      </c>
      <c r="D5" s="52">
        <f>IFERROR(HistoricalFS!D7,0)</f>
        <v>4.3554922604818413E-2</v>
      </c>
      <c r="E5" s="52">
        <f>IFERROR(HistoricalFS!E7,0)</f>
        <v>0.18975012997140639</v>
      </c>
      <c r="F5" s="52">
        <f>IFERROR(HistoricalFS!F7,0)</f>
        <v>7.1594873790650215E-2</v>
      </c>
      <c r="G5" s="52">
        <f>IFERROR(HistoricalFS!G7,0)</f>
        <v>4.6053176509566862E-2</v>
      </c>
      <c r="H5" s="52">
        <f>IFERROR(HistoricalFS!H7,0)</f>
        <v>0.1679711530847805</v>
      </c>
      <c r="I5" s="52">
        <f>IFERROR(HistoricalFS!I7,0)</f>
        <v>0.17576686796624852</v>
      </c>
      <c r="J5" s="52">
        <f>IFERROR(HistoricalFS!J7,0)</f>
        <v>6.8460644554639849E-2</v>
      </c>
      <c r="K5" s="52">
        <f>IFERROR(HistoricalFS!K7,0)</f>
        <v>5.9906265437351891E-2</v>
      </c>
      <c r="L5" s="52">
        <f>IFERROR(HistoricalFS!L7,0)</f>
        <v>4.581237956478823E-2</v>
      </c>
      <c r="M5" s="67"/>
      <c r="N5" s="56">
        <f>IFERROR(AVERAGE(D5:L5),0)</f>
        <v>9.6541157053805657E-2</v>
      </c>
      <c r="O5" s="56">
        <f>IFERROR(MEDIAN(C5:L5),0)</f>
        <v>6.8460644554639849E-2</v>
      </c>
    </row>
    <row r="6" spans="2:15" x14ac:dyDescent="0.3">
      <c r="B6" s="34" t="s">
        <v>144</v>
      </c>
      <c r="C6" s="24" t="s">
        <v>56</v>
      </c>
      <c r="D6" s="50">
        <f>IFERROR(HistoricalFS!D18/HistoricalFS!C18-1,0)</f>
        <v>6.1103567460807362E-3</v>
      </c>
      <c r="E6" s="50">
        <f>IFERROR(HistoricalFS!E18/HistoricalFS!D18-1,0)</f>
        <v>0.2129930679099441</v>
      </c>
      <c r="F6" s="50">
        <f>IFERROR(HistoricalFS!F18/HistoricalFS!E18-1,0)</f>
        <v>6.5265766449198459E-2</v>
      </c>
      <c r="G6" s="50">
        <f>IFERROR(HistoricalFS!G18/HistoricalFS!F18-1,0)</f>
        <v>0.10522942530918411</v>
      </c>
      <c r="H6" s="50">
        <f>IFERROR(HistoricalFS!H18/HistoricalFS!G18-1,0)</f>
        <v>0.14016323024054977</v>
      </c>
      <c r="I6" s="50">
        <f>IFERROR(HistoricalFS!I18/HistoricalFS!H18-1,0)</f>
        <v>0.11697999472553966</v>
      </c>
      <c r="J6" s="50">
        <f>IFERROR(HistoricalFS!J18/HistoricalFS!I18-1,0)</f>
        <v>8.5031030760928328E-2</v>
      </c>
      <c r="K6" s="50">
        <f>IFERROR(HistoricalFS!K18/HistoricalFS!J18-1,0)</f>
        <v>4.8462805806832598E-2</v>
      </c>
      <c r="L6" s="50">
        <f>IFERROR(HistoricalFS!L18/HistoricalFS!K18-1,0)</f>
        <v>7.3900023719165153E-2</v>
      </c>
      <c r="M6" s="24"/>
      <c r="N6" s="50">
        <f t="shared" ref="N6:N9" si="0">IFERROR(AVERAGE(D6:L6),0)</f>
        <v>9.4903966851935875E-2</v>
      </c>
      <c r="O6" s="50">
        <f t="shared" ref="O6:O40" si="1">IFERROR(MEDIAN(C6:L6),0)</f>
        <v>8.5031030760928328E-2</v>
      </c>
    </row>
    <row r="7" spans="2:15" x14ac:dyDescent="0.3">
      <c r="B7" s="34" t="s">
        <v>150</v>
      </c>
      <c r="C7" s="24" t="s">
        <v>56</v>
      </c>
      <c r="D7" s="50">
        <f>IFERROR((HistoricalFS!D27+HistoricalFS!D21)/(HistoricalFS!C27+HistoricalFS!C21)-1,0)</f>
        <v>5.6218561988361504E-3</v>
      </c>
      <c r="E7" s="50">
        <f>IFERROR((HistoricalFS!E27+HistoricalFS!E21)/(HistoricalFS!D27+HistoricalFS!D21)-1,0)</f>
        <v>0.22564404341571853</v>
      </c>
      <c r="F7" s="50">
        <f>IFERROR((HistoricalFS!F27+HistoricalFS!F21)/(HistoricalFS!E27+HistoricalFS!E21)-1,0)</f>
        <v>2.9554547879434567E-2</v>
      </c>
      <c r="G7" s="50">
        <f>IFERROR((HistoricalFS!G27+HistoricalFS!G21)/(HistoricalFS!F27+HistoricalFS!F21)-1,0)</f>
        <v>0.10096378050676202</v>
      </c>
      <c r="H7" s="50">
        <f>IFERROR((HistoricalFS!H27+HistoricalFS!H21)/(HistoricalFS!G27+HistoricalFS!G21)-1,0)</f>
        <v>0.14088716319567007</v>
      </c>
      <c r="I7" s="50">
        <f>IFERROR((HistoricalFS!I27+HistoricalFS!I21)/(HistoricalFS!H27+HistoricalFS!H21)-1,0)</f>
        <v>0.11946701868734788</v>
      </c>
      <c r="J7" s="50">
        <f>IFERROR((HistoricalFS!J27+HistoricalFS!J21)/(HistoricalFS!I27+HistoricalFS!I21)-1,0)</f>
        <v>9.3580720050115973E-2</v>
      </c>
      <c r="K7" s="50">
        <f>IFERROR((HistoricalFS!K27+HistoricalFS!K21)/(HistoricalFS!J27+HistoricalFS!J21)-1,0)</f>
        <v>4.8203123683722815E-2</v>
      </c>
      <c r="L7" s="50">
        <f>IFERROR((HistoricalFS!L27+HistoricalFS!L21)/(HistoricalFS!K27+HistoricalFS!K21)-1,0)</f>
        <v>7.5015269874947776E-2</v>
      </c>
      <c r="M7" s="24"/>
      <c r="N7" s="50">
        <f t="shared" si="0"/>
        <v>9.3215280388061761E-2</v>
      </c>
      <c r="O7" s="50">
        <f t="shared" si="1"/>
        <v>9.3580720050115973E-2</v>
      </c>
    </row>
    <row r="8" spans="2:15" x14ac:dyDescent="0.3">
      <c r="B8" s="34" t="s">
        <v>151</v>
      </c>
      <c r="C8" s="24" t="s">
        <v>56</v>
      </c>
      <c r="D8" s="50">
        <f>IFERROR(HistoricalFS!D33/HistoricalFS!C33-1,0)</f>
        <v>4.2736965225607104E-3</v>
      </c>
      <c r="E8" s="50">
        <f>IFERROR(HistoricalFS!E33/HistoricalFS!D33-1,0)</f>
        <v>0.22249596846443298</v>
      </c>
      <c r="F8" s="50">
        <f>IFERROR(HistoricalFS!F33/HistoricalFS!E33-1,0)</f>
        <v>2.1325711773112044E-2</v>
      </c>
      <c r="G8" s="50">
        <f>IFERROR(HistoricalFS!G33/HistoricalFS!F33-1,0)</f>
        <v>9.9989236895920763E-2</v>
      </c>
      <c r="H8" s="50">
        <f>IFERROR(HistoricalFS!H33/HistoricalFS!G33-1,0)</f>
        <v>0.12393998695368569</v>
      </c>
      <c r="I8" s="50">
        <f>IFERROR(HistoricalFS!I33/HistoricalFS!H33-1,0)</f>
        <v>0.12858386535113175</v>
      </c>
      <c r="J8" s="50">
        <f>IFERROR(HistoricalFS!J33/HistoricalFS!I33-1,0)</f>
        <v>9.734900105422839E-2</v>
      </c>
      <c r="K8" s="50">
        <f>IFERROR(HistoricalFS!K33/HistoricalFS!J33-1,0)</f>
        <v>5.1714038006420271E-2</v>
      </c>
      <c r="L8" s="50">
        <f>IFERROR(HistoricalFS!L33/HistoricalFS!K33-1,0)</f>
        <v>0.10553872203903403</v>
      </c>
      <c r="M8" s="24"/>
      <c r="N8" s="50">
        <f t="shared" si="0"/>
        <v>9.5023358562280738E-2</v>
      </c>
      <c r="O8" s="50">
        <f t="shared" si="1"/>
        <v>9.9989236895920763E-2</v>
      </c>
    </row>
    <row r="9" spans="2:15" x14ac:dyDescent="0.3">
      <c r="B9" s="53" t="s">
        <v>152</v>
      </c>
      <c r="C9" s="54" t="s">
        <v>56</v>
      </c>
      <c r="D9" s="55">
        <f>IFERROR(HistoricalFS!D41/HistoricalFS!C41-1,0)</f>
        <v>6.1682618509651066E-2</v>
      </c>
      <c r="E9" s="55">
        <f>IFERROR(HistoricalFS!E41/HistoricalFS!D41-1,0)</f>
        <v>0.20193233398687682</v>
      </c>
      <c r="F9" s="55">
        <f>IFERROR(HistoricalFS!F41/HistoricalFS!E41-1,0)</f>
        <v>1.4333333333333331</v>
      </c>
      <c r="G9" s="55">
        <f>IFERROR(HistoricalFS!G41/HistoricalFS!F41-1,0)</f>
        <v>-0.4789921724758669</v>
      </c>
      <c r="H9" s="55">
        <f>IFERROR(HistoricalFS!H41/HistoricalFS!G41-1,0)</f>
        <v>0.13158195629338221</v>
      </c>
      <c r="I9" s="55">
        <f>IFERROR(HistoricalFS!I41/HistoricalFS!H41-1,0)</f>
        <v>1.6744186046511627</v>
      </c>
      <c r="J9" s="55">
        <f>IFERROR(HistoricalFS!J41/HistoricalFS!I41-1,0)</f>
        <v>-0.36504021920516316</v>
      </c>
      <c r="K9" s="55">
        <f>IFERROR(HistoricalFS!K41/HistoricalFS!J41-1,0)</f>
        <v>0.72602739726027399</v>
      </c>
      <c r="L9" s="55">
        <f>IFERROR(HistoricalFS!L41/HistoricalFS!K41-1,0)</f>
        <v>-0.12698412698412698</v>
      </c>
      <c r="M9" s="54"/>
      <c r="N9" s="55">
        <f t="shared" si="0"/>
        <v>0.36199552504105809</v>
      </c>
      <c r="O9" s="55">
        <f t="shared" si="1"/>
        <v>0.13158195629338221</v>
      </c>
    </row>
    <row r="10" spans="2:15" x14ac:dyDescent="0.3">
      <c r="M10" s="24"/>
    </row>
    <row r="11" spans="2:15" x14ac:dyDescent="0.3">
      <c r="B11" s="51" t="s">
        <v>153</v>
      </c>
      <c r="C11" s="56">
        <f>IFERROR(HistoricalFS!C13,0)</f>
        <v>0.4546225183527457</v>
      </c>
      <c r="D11" s="56">
        <f>IFERROR(HistoricalFS!D13,0)</f>
        <v>0.43941707824278659</v>
      </c>
      <c r="E11" s="56">
        <f>IFERROR(HistoricalFS!E13,0)</f>
        <v>0.45053699569174466</v>
      </c>
      <c r="F11" s="56">
        <f>IFERROR(HistoricalFS!F13,0)</f>
        <v>0.44033412127506388</v>
      </c>
      <c r="G11" s="56">
        <f>IFERROR(HistoricalFS!G13,0)</f>
        <v>0.43194235489745825</v>
      </c>
      <c r="H11" s="56">
        <f>IFERROR(HistoricalFS!H13,0)</f>
        <v>0.43319044192037715</v>
      </c>
      <c r="I11" s="56">
        <f>IFERROR(HistoricalFS!I13,0)</f>
        <v>0.42620798552280248</v>
      </c>
      <c r="J11" s="56">
        <f>IFERROR(HistoricalFS!J13,0)</f>
        <v>0.40309182915236225</v>
      </c>
      <c r="K11" s="56">
        <f>IFERROR(HistoricalFS!K13,0)</f>
        <v>0.38357929532672214</v>
      </c>
      <c r="L11" s="56">
        <f>IFERROR(HistoricalFS!L13,0)</f>
        <v>0.40323045752955761</v>
      </c>
      <c r="M11" s="67"/>
      <c r="N11" s="56">
        <f>IFERROR(AVERAGE(C11:L11),0)</f>
        <v>0.42661530779116213</v>
      </c>
      <c r="O11" s="56">
        <f t="shared" si="1"/>
        <v>0.4325663984089177</v>
      </c>
    </row>
    <row r="12" spans="2:15" x14ac:dyDescent="0.3">
      <c r="B12" s="34" t="s">
        <v>154</v>
      </c>
      <c r="C12" s="50">
        <f>IFERROR(HistoricalFS!C19,0)</f>
        <v>0.27468931726090567</v>
      </c>
      <c r="D12" s="50">
        <f>IFERROR(HistoricalFS!D19,0)</f>
        <v>0.26483298674291655</v>
      </c>
      <c r="E12" s="50">
        <f>IFERROR(HistoricalFS!E19,0)</f>
        <v>0.27000675938632968</v>
      </c>
      <c r="F12" s="50">
        <f>IFERROR(HistoricalFS!F19,0)</f>
        <v>0.26841203193394031</v>
      </c>
      <c r="G12" s="50">
        <f>IFERROR(HistoricalFS!G19,0)</f>
        <v>0.28359636246246428</v>
      </c>
      <c r="H12" s="50">
        <f>IFERROR(HistoricalFS!H19,0)</f>
        <v>0.27684429007999833</v>
      </c>
      <c r="I12" s="50">
        <f>IFERROR(HistoricalFS!I19,0)</f>
        <v>0.26300242173708627</v>
      </c>
      <c r="J12" s="50">
        <f>IFERROR(HistoricalFS!J19,0)</f>
        <v>0.26708123523722149</v>
      </c>
      <c r="K12" s="50">
        <f>IFERROR(HistoricalFS!K19,0)</f>
        <v>0.26419764691137537</v>
      </c>
      <c r="L12" s="50">
        <f>IFERROR(HistoricalFS!L19,0)</f>
        <v>0.27129326906872492</v>
      </c>
      <c r="M12" s="24"/>
      <c r="N12" s="50">
        <f t="shared" ref="N12:N40" si="2">IFERROR(AVERAGE(C12:L12),0)</f>
        <v>0.27039563208209627</v>
      </c>
      <c r="O12" s="50">
        <f t="shared" si="1"/>
        <v>0.26920939566013502</v>
      </c>
    </row>
    <row r="13" spans="2:15" x14ac:dyDescent="0.3">
      <c r="B13" s="34" t="s">
        <v>155</v>
      </c>
      <c r="C13" s="50">
        <f>IFERROR((HistoricalFS!C27+HistoricalFS!C21)/HistoricalFS!C6,0)</f>
        <v>0.25784548090127662</v>
      </c>
      <c r="D13" s="50">
        <f>IFERROR((HistoricalFS!D27+HistoricalFS!D21)/HistoricalFS!D6,0)</f>
        <v>0.24847283597608527</v>
      </c>
      <c r="E13" s="50">
        <f>IFERROR((HistoricalFS!E27+HistoricalFS!E21)/HistoricalFS!E6,0)</f>
        <v>0.25596908434212051</v>
      </c>
      <c r="F13" s="50">
        <f>IFERROR((HistoricalFS!F27+HistoricalFS!F21)/HistoricalFS!F6,0)</f>
        <v>0.24592702087939394</v>
      </c>
      <c r="G13" s="50">
        <f>IFERROR((HistoricalFS!G27+HistoricalFS!G21)/HistoricalFS!G6,0)</f>
        <v>0.2588364996314953</v>
      </c>
      <c r="H13" s="50">
        <f>IFERROR((HistoricalFS!H27+HistoricalFS!H21)/HistoricalFS!H6,0)</f>
        <v>0.25283436069130238</v>
      </c>
      <c r="I13" s="50">
        <f>IFERROR((HistoricalFS!I27+HistoricalFS!I21)/HistoricalFS!I6,0)</f>
        <v>0.24072776304234048</v>
      </c>
      <c r="J13" s="50">
        <f>IFERROR((HistoricalFS!J27+HistoricalFS!J21)/HistoricalFS!J6,0)</f>
        <v>0.24638740021503322</v>
      </c>
      <c r="K13" s="50">
        <f>IFERROR((HistoricalFS!K27+HistoricalFS!K21)/HistoricalFS!K6,0)</f>
        <v>0.24366687032946374</v>
      </c>
      <c r="L13" s="50">
        <f>IFERROR((HistoricalFS!L27+HistoricalFS!L21)/HistoricalFS!L6,0)</f>
        <v>0.25047093674280302</v>
      </c>
      <c r="M13" s="24"/>
      <c r="N13" s="50">
        <f t="shared" si="2"/>
        <v>0.25011382527513148</v>
      </c>
      <c r="O13" s="50">
        <f t="shared" si="1"/>
        <v>0.24947188635944414</v>
      </c>
    </row>
    <row r="14" spans="2:15" x14ac:dyDescent="0.3">
      <c r="B14" s="34" t="s">
        <v>156</v>
      </c>
      <c r="C14" s="50">
        <f>IFERROR(HistoricalFS!C28,0)</f>
        <v>0.25757421629961175</v>
      </c>
      <c r="D14" s="50">
        <f>IFERROR(HistoricalFS!D28,0)</f>
        <v>0.24805042890564075</v>
      </c>
      <c r="E14" s="50">
        <f>IFERROR(HistoricalFS!E28,0)</f>
        <v>0.2546172070761899</v>
      </c>
      <c r="F14" s="50">
        <f>IFERROR(HistoricalFS!F28,0)</f>
        <v>0.24003975813799386</v>
      </c>
      <c r="G14" s="50">
        <f>IFERROR(HistoricalFS!G28,0)</f>
        <v>0.25495654080656854</v>
      </c>
      <c r="H14" s="50">
        <f>IFERROR(HistoricalFS!H28,0)</f>
        <v>0.24874578887532986</v>
      </c>
      <c r="I14" s="50">
        <f>IFERROR(HistoricalFS!I28,0)</f>
        <v>0.2372725740492686</v>
      </c>
      <c r="J14" s="50">
        <f>IFERROR(HistoricalFS!J28,0)</f>
        <v>0.24315775053654526</v>
      </c>
      <c r="K14" s="50">
        <f>IFERROR(HistoricalFS!K28,0)</f>
        <v>0.24054926289733827</v>
      </c>
      <c r="L14" s="50">
        <f>IFERROR(HistoricalFS!L28,0)</f>
        <v>0.24587579254066161</v>
      </c>
      <c r="M14" s="24"/>
      <c r="N14" s="50">
        <f t="shared" si="2"/>
        <v>0.24708393201251483</v>
      </c>
      <c r="O14" s="50">
        <f t="shared" si="1"/>
        <v>0.24696311072315119</v>
      </c>
    </row>
    <row r="15" spans="2:15" x14ac:dyDescent="0.3">
      <c r="B15" s="53" t="s">
        <v>157</v>
      </c>
      <c r="C15" s="55">
        <f>IFERROR(HistoricalFS!C34,0)</f>
        <v>0.18843565095027381</v>
      </c>
      <c r="D15" s="55">
        <f>IFERROR(HistoricalFS!D34,0)</f>
        <v>0.18134260462698207</v>
      </c>
      <c r="E15" s="55">
        <f>IFERROR(HistoricalFS!E34,0)</f>
        <v>0.18633374982077386</v>
      </c>
      <c r="F15" s="55">
        <f>IFERROR(HistoricalFS!F34,0)</f>
        <v>0.1775927212024288</v>
      </c>
      <c r="G15" s="55">
        <f>IFERROR(HistoricalFS!G34,0)</f>
        <v>0.18674966651845265</v>
      </c>
      <c r="H15" s="55">
        <f>IFERROR(HistoricalFS!H34,0)</f>
        <v>0.17970941936022194</v>
      </c>
      <c r="I15" s="55">
        <f>IFERROR(HistoricalFS!I34,0)</f>
        <v>0.17249776011496598</v>
      </c>
      <c r="J15" s="55">
        <f>IFERROR(HistoricalFS!J34,0)</f>
        <v>0.1771616443815304</v>
      </c>
      <c r="K15" s="55">
        <f>IFERROR(HistoricalFS!K34,0)</f>
        <v>0.17579232661246103</v>
      </c>
      <c r="L15" s="55">
        <f>IFERROR(HistoricalFS!L34,0)</f>
        <v>0.18583182596125397</v>
      </c>
      <c r="M15" s="54"/>
      <c r="N15" s="55">
        <f t="shared" si="2"/>
        <v>0.18114473695493447</v>
      </c>
      <c r="O15" s="55">
        <f t="shared" si="1"/>
        <v>0.18052601199360202</v>
      </c>
    </row>
    <row r="16" spans="2:15" x14ac:dyDescent="0.3">
      <c r="B16" s="3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2:15" x14ac:dyDescent="0.3">
      <c r="B17" s="51" t="s">
        <v>158</v>
      </c>
      <c r="C17" s="56">
        <f>IFERROR(HistoricalFS!C16,0)</f>
        <v>0.17993320109184002</v>
      </c>
      <c r="D17" s="56">
        <f>IFERROR(HistoricalFS!D16,0)</f>
        <v>0.17458409149987003</v>
      </c>
      <c r="E17" s="56">
        <f>IFERROR(HistoricalFS!E16,0)</f>
        <v>0.18053023630541501</v>
      </c>
      <c r="F17" s="56">
        <f>IFERROR(HistoricalFS!F16,0)</f>
        <v>0.17192208934112355</v>
      </c>
      <c r="G17" s="56">
        <f>IFERROR(HistoricalFS!G16,0)</f>
        <v>0.14834599243499394</v>
      </c>
      <c r="H17" s="56">
        <f>IFERROR(HistoricalFS!H16,0)</f>
        <v>0.15634615184037881</v>
      </c>
      <c r="I17" s="56">
        <f>IFERROR(HistoricalFS!I16,0)</f>
        <v>0.16320556378571618</v>
      </c>
      <c r="J17" s="56">
        <f>IFERROR(HistoricalFS!J16,0)</f>
        <v>0.13601059391514075</v>
      </c>
      <c r="K17" s="56">
        <f>IFERROR(HistoricalFS!K16,0)</f>
        <v>0.11938164841534678</v>
      </c>
      <c r="L17" s="56">
        <f>IFERROR(HistoricalFS!L16,0)</f>
        <v>0.13193718846083266</v>
      </c>
      <c r="M17" s="67"/>
      <c r="N17" s="56">
        <f t="shared" si="2"/>
        <v>0.15621967570906575</v>
      </c>
      <c r="O17" s="56">
        <f t="shared" si="1"/>
        <v>0.15977585781304748</v>
      </c>
    </row>
    <row r="18" spans="2:15" x14ac:dyDescent="0.3">
      <c r="B18" s="34" t="s">
        <v>159</v>
      </c>
      <c r="C18" s="50">
        <f>IFERROR(HistoricalFS!C25,0)</f>
        <v>1.6843836359629046E-2</v>
      </c>
      <c r="D18" s="50">
        <f>IFERROR(HistoricalFS!D25,0)</f>
        <v>1.6360150766831297E-2</v>
      </c>
      <c r="E18" s="50">
        <f>IFERROR(HistoricalFS!E25,0)</f>
        <v>1.4037675044209118E-2</v>
      </c>
      <c r="F18" s="50">
        <f>IFERROR(HistoricalFS!F25,0)</f>
        <v>2.248501105454638E-2</v>
      </c>
      <c r="G18" s="50">
        <f>IFERROR(HistoricalFS!G25,0)</f>
        <v>2.4759862830969016E-2</v>
      </c>
      <c r="H18" s="50">
        <f>IFERROR(HistoricalFS!H25,0)</f>
        <v>2.4009929388695932E-2</v>
      </c>
      <c r="I18" s="50">
        <f>IFERROR(HistoricalFS!I25,0)</f>
        <v>2.2274658694745805E-2</v>
      </c>
      <c r="J18" s="50">
        <f>IFERROR(HistoricalFS!J25,0)</f>
        <v>2.0693835022188273E-2</v>
      </c>
      <c r="K18" s="50">
        <f>IFERROR(HistoricalFS!K25,0)</f>
        <v>2.053077658191161E-2</v>
      </c>
      <c r="L18" s="50">
        <f>IFERROR(HistoricalFS!L25,0)</f>
        <v>2.0822332325921931E-2</v>
      </c>
      <c r="M18" s="24"/>
      <c r="N18" s="50">
        <f t="shared" si="2"/>
        <v>2.0281806806964842E-2</v>
      </c>
      <c r="O18" s="50">
        <f t="shared" si="1"/>
        <v>2.07580836740551E-2</v>
      </c>
    </row>
    <row r="19" spans="2:15" x14ac:dyDescent="0.3">
      <c r="B19" s="53" t="s">
        <v>160</v>
      </c>
      <c r="C19" s="55">
        <f>IFERROR(HistoricalFS!C13,0)</f>
        <v>0.4546225183527457</v>
      </c>
      <c r="D19" s="55">
        <f>IFERROR(HistoricalFS!D13,0)</f>
        <v>0.43941707824278659</v>
      </c>
      <c r="E19" s="55">
        <f>IFERROR(HistoricalFS!E13,0)</f>
        <v>0.45053699569174466</v>
      </c>
      <c r="F19" s="55">
        <f>IFERROR(HistoricalFS!F13,0)</f>
        <v>0.44033412127506388</v>
      </c>
      <c r="G19" s="55">
        <f>IFERROR(HistoricalFS!G13,0)</f>
        <v>0.43194235489745825</v>
      </c>
      <c r="H19" s="55">
        <f>IFERROR(HistoricalFS!H13,0)</f>
        <v>0.43319044192037715</v>
      </c>
      <c r="I19" s="55">
        <f>IFERROR(HistoricalFS!I13,0)</f>
        <v>0.42620798552280248</v>
      </c>
      <c r="J19" s="55">
        <f>IFERROR(HistoricalFS!J13,0)</f>
        <v>0.40309182915236225</v>
      </c>
      <c r="K19" s="55">
        <f>IFERROR(HistoricalFS!K13,0)</f>
        <v>0.38357929532672214</v>
      </c>
      <c r="L19" s="55">
        <f>IFERROR(HistoricalFS!L13,0)</f>
        <v>0.40323045752955761</v>
      </c>
      <c r="M19" s="54"/>
      <c r="N19" s="55">
        <f t="shared" si="2"/>
        <v>0.42661530779116213</v>
      </c>
      <c r="O19" s="55">
        <f t="shared" si="1"/>
        <v>0.4325663984089177</v>
      </c>
    </row>
    <row r="20" spans="2:15" x14ac:dyDescent="0.3">
      <c r="B20" s="3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2:15" x14ac:dyDescent="0.3">
      <c r="B21" s="51" t="s">
        <v>161</v>
      </c>
      <c r="C21" s="56">
        <f>IFERROR((HistoricalFS!C27+HistoricalFS!C21)/(SUM(HistoricalFS!C47:C49)),0)</f>
        <v>0.35162942325699686</v>
      </c>
      <c r="D21" s="56">
        <f>IFERROR((HistoricalFS!D27+HistoricalFS!D21)/(SUM(HistoricalFS!D47:D49)),0)</f>
        <v>0.35827818448023424</v>
      </c>
      <c r="E21" s="56">
        <f>IFERROR((HistoricalFS!E27+HistoricalFS!E21)/(SUM(HistoricalFS!E47:E49)),0)</f>
        <v>0.4188452428833177</v>
      </c>
      <c r="F21" s="56">
        <f>IFERROR((HistoricalFS!F27+HistoricalFS!F21)/(SUM(HistoricalFS!F47:F49)),0)</f>
        <v>0.41817984832069338</v>
      </c>
      <c r="G21" s="56">
        <f>IFERROR((HistoricalFS!G27+HistoricalFS!G21)/(SUM(HistoricalFS!G47:G49)),0)</f>
        <v>0.45098060024621134</v>
      </c>
      <c r="H21" s="56">
        <f>IFERROR((HistoricalFS!H27+HistoricalFS!H21)/(SUM(HistoricalFS!H47:H49)),0)</f>
        <v>0.50003609847664432</v>
      </c>
      <c r="I21" s="56">
        <f>IFERROR((HistoricalFS!I27+HistoricalFS!I21)/(SUM(HistoricalFS!I47:I49)),0)</f>
        <v>0.55318411611219831</v>
      </c>
      <c r="J21" s="56">
        <f>IFERROR((HistoricalFS!J27+HistoricalFS!J21)/(SUM(HistoricalFS!J47:J49)),0)</f>
        <v>0.60250735965891788</v>
      </c>
      <c r="K21" s="56">
        <f>IFERROR((HistoricalFS!K27+HistoricalFS!K21)/(SUM(HistoricalFS!K47:K49)),0)</f>
        <v>0.5973614471713331</v>
      </c>
      <c r="L21" s="56">
        <f>IFERROR((HistoricalFS!L27+HistoricalFS!L21)/(SUM(HistoricalFS!L47:L49)),0)</f>
        <v>0.56428710039401631</v>
      </c>
      <c r="M21" s="67"/>
      <c r="N21" s="56">
        <f t="shared" si="2"/>
        <v>0.48152894210005631</v>
      </c>
      <c r="O21" s="56">
        <f t="shared" si="1"/>
        <v>0.47550834936142783</v>
      </c>
    </row>
    <row r="22" spans="2:15" x14ac:dyDescent="0.3">
      <c r="B22" s="34" t="s">
        <v>162</v>
      </c>
      <c r="C22" s="50">
        <f>IFERROR(HistoricalFS!C44,0)</f>
        <v>0.58347204102748662</v>
      </c>
      <c r="D22" s="50">
        <f>IFERROR(HistoricalFS!D44,0)</f>
        <v>0.57220928149077221</v>
      </c>
      <c r="E22" s="50">
        <f>IFERROR(HistoricalFS!E44,0)</f>
        <v>0.58777618995273162</v>
      </c>
      <c r="F22" s="50">
        <f>IFERROR(HistoricalFS!F44,0)</f>
        <v>1.7866752771499406E-2</v>
      </c>
      <c r="G22" s="50">
        <f>IFERROR(HistoricalFS!G44,0)</f>
        <v>0.54142204827136331</v>
      </c>
      <c r="H22" s="50">
        <f>IFERROR(HistoricalFS!H44,0)</f>
        <v>0.54329657573998835</v>
      </c>
      <c r="I22" s="50">
        <f>IFERROR(HistoricalFS!I44,0)</f>
        <v>0</v>
      </c>
      <c r="J22" s="50">
        <f>IFERROR(HistoricalFS!J44,0)</f>
        <v>0.3807905897790379</v>
      </c>
      <c r="K22" s="50">
        <f>IFERROR(HistoricalFS!K44,0)</f>
        <v>0</v>
      </c>
      <c r="L22" s="50">
        <f>IFERROR(HistoricalFS!L44,0)</f>
        <v>0.19751718022611398</v>
      </c>
      <c r="M22" s="24"/>
      <c r="N22" s="50">
        <f t="shared" si="2"/>
        <v>0.34243506592589934</v>
      </c>
      <c r="O22" s="50">
        <f t="shared" si="1"/>
        <v>0.46110631902520061</v>
      </c>
    </row>
    <row r="23" spans="2:15" x14ac:dyDescent="0.3">
      <c r="B23" s="34" t="s">
        <v>165</v>
      </c>
      <c r="C23" s="57">
        <f>IFERROR(HistoricalFS!C33/(SUM(HistoricalFS!C47:C48)),0)</f>
        <v>0.25783515438327881</v>
      </c>
      <c r="D23" s="57">
        <f>IFERROR(HistoricalFS!D33/(SUM(HistoricalFS!D47:D48)),0)</f>
        <v>0.26224039094070106</v>
      </c>
      <c r="E23" s="57">
        <f>IFERROR(HistoricalFS!E33/(SUM(HistoricalFS!E47:E48)),0)</f>
        <v>0.30511146390000671</v>
      </c>
      <c r="F23" s="57">
        <f>IFERROR(HistoricalFS!F33/(SUM(HistoricalFS!F47:F48)),0)</f>
        <v>0.33132444190856575</v>
      </c>
      <c r="G23" s="57">
        <f>IFERROR(HistoricalFS!G33/(SUM(HistoricalFS!G47:G48)),0)</f>
        <v>0.35472562562909998</v>
      </c>
      <c r="H23" s="57">
        <f>IFERROR(HistoricalFS!H33/(SUM(HistoricalFS!H47:H48)),0)</f>
        <v>0.38658724015301943</v>
      </c>
      <c r="I23" s="57">
        <f>IFERROR(HistoricalFS!I33/(SUM(HistoricalFS!I47:I48)),0)</f>
        <v>0.43009599221445632</v>
      </c>
      <c r="J23" s="57">
        <f>IFERROR(HistoricalFS!J33/(SUM(HistoricalFS!J47:J48)),0)</f>
        <v>0.47162638552752267</v>
      </c>
      <c r="K23" s="57">
        <f>IFERROR(HistoricalFS!K33/(SUM(HistoricalFS!K47:K48)),0)</f>
        <v>0.47367976698045505</v>
      </c>
      <c r="L23" s="57">
        <f>IFERROR(HistoricalFS!L33/(SUM(HistoricalFS!L47:L48)),0)</f>
        <v>0.46270980977247295</v>
      </c>
      <c r="M23" s="24"/>
      <c r="N23" s="50">
        <f t="shared" si="2"/>
        <v>0.37359362714095784</v>
      </c>
      <c r="O23" s="50">
        <f t="shared" si="1"/>
        <v>0.37065643289105971</v>
      </c>
    </row>
    <row r="24" spans="2:15" x14ac:dyDescent="0.3">
      <c r="B24" s="34" t="s">
        <v>163</v>
      </c>
      <c r="C24" s="50">
        <f>IFERROR(C22*C23,0)</f>
        <v>0.15043960377664881</v>
      </c>
      <c r="D24" s="50">
        <f t="shared" ref="D24:L24" si="3">IFERROR(D22*D23,0)</f>
        <v>0.15005638567803778</v>
      </c>
      <c r="E24" s="50">
        <f t="shared" si="3"/>
        <v>0.17933725376204637</v>
      </c>
      <c r="F24" s="50">
        <f t="shared" si="3"/>
        <v>5.9196918907353608E-3</v>
      </c>
      <c r="G24" s="50">
        <f t="shared" si="3"/>
        <v>0.19205627480244813</v>
      </c>
      <c r="H24" s="50">
        <f t="shared" si="3"/>
        <v>0.210031523799908</v>
      </c>
      <c r="I24" s="50">
        <f t="shared" si="3"/>
        <v>0</v>
      </c>
      <c r="J24" s="50">
        <f t="shared" si="3"/>
        <v>0.17959088950038127</v>
      </c>
      <c r="K24" s="50">
        <f t="shared" si="3"/>
        <v>0</v>
      </c>
      <c r="L24" s="50">
        <f t="shared" si="3"/>
        <v>9.1393136889220447E-2</v>
      </c>
      <c r="M24" s="24"/>
      <c r="N24" s="50">
        <f t="shared" si="2"/>
        <v>0.11588247600994261</v>
      </c>
      <c r="O24" s="50">
        <f t="shared" si="1"/>
        <v>0.15024799472734329</v>
      </c>
    </row>
    <row r="25" spans="2:15" x14ac:dyDescent="0.3">
      <c r="B25" s="53" t="s">
        <v>164</v>
      </c>
      <c r="C25" s="58">
        <f>IFERROR((HistoricalFS!C27+HistoricalFS!C21)/HistoricalFS!C21,0)</f>
        <v>950.53125</v>
      </c>
      <c r="D25" s="58">
        <f>IFERROR((HistoricalFS!D27+HistoricalFS!D21)/HistoricalFS!D21,0)</f>
        <v>588.23076923076928</v>
      </c>
      <c r="E25" s="58">
        <f>IFERROR((HistoricalFS!E27+HistoricalFS!E21)/HistoricalFS!E21,0)</f>
        <v>189.34343434343435</v>
      </c>
      <c r="F25" s="58">
        <f>IFERROR((HistoricalFS!F27+HistoricalFS!F21)/HistoricalFS!F21,0)</f>
        <v>41.772727272727273</v>
      </c>
      <c r="G25" s="58">
        <f>IFERROR((HistoricalFS!G27+HistoricalFS!G21)/HistoricalFS!G21,0)</f>
        <v>66.711145996860282</v>
      </c>
      <c r="H25" s="58">
        <f>IFERROR((HistoricalFS!H27+HistoricalFS!H21)/HistoricalFS!H21,0)</f>
        <v>61.839285714285715</v>
      </c>
      <c r="I25" s="58">
        <f>IFERROR((HistoricalFS!I27+HistoricalFS!I21)/HistoricalFS!I21,0)</f>
        <v>69.671373555840816</v>
      </c>
      <c r="J25" s="58">
        <f>IFERROR((HistoricalFS!J27+HistoricalFS!J21)/HistoricalFS!J21,0)</f>
        <v>76.289203084832906</v>
      </c>
      <c r="K25" s="58">
        <f>IFERROR((HistoricalFS!K27+HistoricalFS!K21)/HistoricalFS!K21,0)</f>
        <v>78.158291457286438</v>
      </c>
      <c r="L25" s="58">
        <f>IFERROR((HistoricalFS!L27+HistoricalFS!L21)/HistoricalFS!L21,0)</f>
        <v>54.507742461287691</v>
      </c>
      <c r="M25" s="54"/>
      <c r="N25" s="58">
        <f t="shared" si="2"/>
        <v>217.70552231173252</v>
      </c>
      <c r="O25" s="58">
        <f t="shared" si="1"/>
        <v>72.980288320336854</v>
      </c>
    </row>
    <row r="26" spans="2:15" x14ac:dyDescent="0.3">
      <c r="B26" s="3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2:15" x14ac:dyDescent="0.3">
      <c r="B27" s="51" t="s">
        <v>169</v>
      </c>
      <c r="C27" s="59">
        <f>IFERROR(HistoricalFS!C6/HistoricalFS!C59,0)</f>
        <v>5.2158111155325644</v>
      </c>
      <c r="D27" s="59">
        <f>IFERROR(HistoricalFS!D6/HistoricalFS!D59,0)</f>
        <v>4.9354127410495927</v>
      </c>
      <c r="E27" s="59">
        <f>IFERROR(HistoricalFS!E6/HistoricalFS!E59,0)</f>
        <v>5.3559204271191403</v>
      </c>
      <c r="F27" s="59">
        <f>IFERROR(HistoricalFS!F6/HistoricalFS!F59,0)</f>
        <v>5.1404755666186297</v>
      </c>
      <c r="G27" s="59">
        <f>IFERROR(HistoricalFS!G6/HistoricalFS!G59,0)</f>
        <v>5.4581934239835102</v>
      </c>
      <c r="H27" s="59">
        <f>IFERROR(HistoricalFS!H6/HistoricalFS!H59,0)</f>
        <v>4.5863190624252574</v>
      </c>
      <c r="I27" s="59">
        <f>IFERROR(HistoricalFS!I6/HistoricalFS!I59,0)</f>
        <v>4.5133122472674865</v>
      </c>
      <c r="J27" s="59">
        <f>IFERROR(HistoricalFS!J6/HistoricalFS!J59,0)</f>
        <v>4.4962017283535847</v>
      </c>
      <c r="K27" s="59">
        <f>IFERROR(HistoricalFS!K6/HistoricalFS!K59,0)</f>
        <v>4.3241540493852249</v>
      </c>
      <c r="L27" s="59">
        <f>IFERROR(HistoricalFS!L6/HistoricalFS!L59,0)</f>
        <v>3.9433647399356118</v>
      </c>
      <c r="M27" s="67"/>
      <c r="N27" s="59">
        <f t="shared" si="2"/>
        <v>4.7969165101670601</v>
      </c>
      <c r="O27" s="59">
        <f t="shared" si="1"/>
        <v>4.7608659017374251</v>
      </c>
    </row>
    <row r="28" spans="2:15" x14ac:dyDescent="0.3">
      <c r="B28" s="34" t="s">
        <v>170</v>
      </c>
      <c r="C28" s="60">
        <f>IFERROR(HistoricalFS!C6/HistoricalFS!C50,0)</f>
        <v>7.4520530638029054</v>
      </c>
      <c r="D28" s="60">
        <f>IFERROR(HistoricalFS!D6/HistoricalFS!D50,0)</f>
        <v>6.2327983393245914</v>
      </c>
      <c r="E28" s="60">
        <f>IFERROR(HistoricalFS!E6/HistoricalFS!E50,0)</f>
        <v>6.0043045135899646</v>
      </c>
      <c r="F28" s="60">
        <f>IFERROR(HistoricalFS!F6/HistoricalFS!F50,0)</f>
        <v>5.6401696194343627</v>
      </c>
      <c r="G28" s="60">
        <f>IFERROR(HistoricalFS!G6/HistoricalFS!G50,0)</f>
        <v>4.5905659322223462</v>
      </c>
      <c r="H28" s="60">
        <f>IFERROR(HistoricalFS!H6/HistoricalFS!H50,0)</f>
        <v>4.3613164418768626</v>
      </c>
      <c r="I28" s="60">
        <f>IFERROR(HistoricalFS!I6/HistoricalFS!I50,0)</f>
        <v>5.0385053746619883</v>
      </c>
      <c r="J28" s="60">
        <f>IFERROR(HistoricalFS!J6/HistoricalFS!J50,0)</f>
        <v>5.129530258506878</v>
      </c>
      <c r="K28" s="60">
        <f>IFERROR(HistoricalFS!K6/HistoricalFS!K50,0)</f>
        <v>4.6847580778334343</v>
      </c>
      <c r="L28" s="60">
        <f>IFERROR(HistoricalFS!L6/HistoricalFS!L50,0)</f>
        <v>4.2625151650597024</v>
      </c>
      <c r="M28" s="24"/>
      <c r="N28" s="60">
        <f t="shared" si="2"/>
        <v>5.339651678631304</v>
      </c>
      <c r="O28" s="60">
        <f t="shared" si="1"/>
        <v>5.0840178165844332</v>
      </c>
    </row>
    <row r="29" spans="2:15" x14ac:dyDescent="0.3">
      <c r="B29" s="34" t="s">
        <v>166</v>
      </c>
      <c r="C29" s="60">
        <f>IFERROR(HistoricalFS!C6/HistoricalFS!C60,0)</f>
        <v>5617.4285714285716</v>
      </c>
      <c r="D29" s="60">
        <f>IFERROR(HistoricalFS!D6/HistoricalFS!D60,0)</f>
        <v>4734.7692307692305</v>
      </c>
      <c r="E29" s="60">
        <f>IFERROR(HistoricalFS!E6/HistoricalFS!E60,0)</f>
        <v>14646.3</v>
      </c>
      <c r="F29" s="60">
        <f>IFERROR(HistoricalFS!F6/HistoricalFS!F60,0)</f>
        <v>31389.8</v>
      </c>
      <c r="G29" s="60">
        <f>IFERROR(HistoricalFS!G6/HistoricalFS!G60,0)</f>
        <v>20522.125</v>
      </c>
      <c r="H29" s="60">
        <f>IFERROR(HistoricalFS!H6/HistoricalFS!H60,0)</f>
        <v>9587.7000000000007</v>
      </c>
      <c r="I29" s="60">
        <f>IFERROR(HistoricalFS!I6/HistoricalFS!I60,0)</f>
        <v>8052.0714285714284</v>
      </c>
      <c r="J29" s="60">
        <f>IFERROR(HistoricalFS!J6/HistoricalFS!J60,0)</f>
        <v>8603.3214285714294</v>
      </c>
      <c r="K29" s="60">
        <f>IFERROR(HistoricalFS!K6/HistoricalFS!K60,0)</f>
        <v>12158.285714285714</v>
      </c>
      <c r="L29" s="60">
        <f>IFERROR(HistoricalFS!L6/HistoricalFS!L60,0)</f>
        <v>9207.6206896551721</v>
      </c>
      <c r="M29" s="24"/>
      <c r="N29" s="60">
        <f t="shared" si="2"/>
        <v>12451.942206328156</v>
      </c>
      <c r="O29" s="60">
        <f t="shared" si="1"/>
        <v>9397.6603448275855</v>
      </c>
    </row>
    <row r="30" spans="2:15" x14ac:dyDescent="0.3">
      <c r="B30" s="34" t="s">
        <v>167</v>
      </c>
      <c r="C30" s="60">
        <f>IFERROR(HistoricalFS!C6/HistoricalFS!C53,0)</f>
        <v>10.0817024185967</v>
      </c>
      <c r="D30" s="60">
        <f>IFERROR(HistoricalFS!D6/HistoricalFS!D53,0)</f>
        <v>10.281800718282803</v>
      </c>
      <c r="E30" s="60">
        <f>IFERROR(HistoricalFS!E6/HistoricalFS!E53,0)</f>
        <v>11.917249796582588</v>
      </c>
      <c r="F30" s="60">
        <f>IFERROR(HistoricalFS!F6/HistoricalFS!F53,0)</f>
        <v>7.4994743883792045</v>
      </c>
      <c r="G30" s="60">
        <f>IFERROR(HistoricalFS!G6/HistoricalFS!G53,0)</f>
        <v>7.8101422387136674</v>
      </c>
      <c r="H30" s="60">
        <f>IFERROR(HistoricalFS!H6/HistoricalFS!H53,0)</f>
        <v>9.0033805991172873</v>
      </c>
      <c r="I30" s="60">
        <f>IFERROR(HistoricalFS!I6/HistoricalFS!I53,0)</f>
        <v>10.989909822081405</v>
      </c>
      <c r="J30" s="60">
        <f>IFERROR(HistoricalFS!J6/HistoricalFS!J53,0)</f>
        <v>12.287951438481942</v>
      </c>
      <c r="K30" s="60">
        <f>IFERROR(HistoricalFS!K6/HistoricalFS!K53,0)</f>
        <v>11.075521624083633</v>
      </c>
      <c r="L30" s="60">
        <f>IFERROR(HistoricalFS!L6/HistoricalFS!L53,0)</f>
        <v>8.5193185081198362</v>
      </c>
      <c r="M30" s="24"/>
      <c r="N30" s="60">
        <f t="shared" si="2"/>
        <v>9.9466451552439068</v>
      </c>
      <c r="O30" s="60">
        <f t="shared" si="1"/>
        <v>10.181751568439751</v>
      </c>
    </row>
    <row r="31" spans="2:15" x14ac:dyDescent="0.3">
      <c r="B31" s="53" t="s">
        <v>168</v>
      </c>
      <c r="C31" s="58">
        <f>IFERROR(HistoricalFS!C6/(SUM(HistoricalFS!C47:C48)),0)</f>
        <v>1.3682928526689402</v>
      </c>
      <c r="D31" s="58">
        <f>IFERROR(HistoricalFS!D6/(SUM(HistoricalFS!D47:D48)),0)</f>
        <v>1.44610468940889</v>
      </c>
      <c r="E31" s="58">
        <f>IFERROR(HistoricalFS!E6/(SUM(HistoricalFS!E47:E48)),0)</f>
        <v>1.637446056838763</v>
      </c>
      <c r="F31" s="58">
        <f>IFERROR(HistoricalFS!F6/(SUM(HistoricalFS!F47:F48)),0)</f>
        <v>1.8656420131707201</v>
      </c>
      <c r="G31" s="58">
        <f>IFERROR(HistoricalFS!G6/(SUM(HistoricalFS!G47:G48)),0)</f>
        <v>1.8994712667615379</v>
      </c>
      <c r="H31" s="58">
        <f>IFERROR(HistoricalFS!H6/(SUM(HistoricalFS!H47:H48)),0)</f>
        <v>2.1511796183488707</v>
      </c>
      <c r="I31" s="58">
        <f>IFERROR(HistoricalFS!I6/(SUM(HistoricalFS!I47:I48)),0)</f>
        <v>2.4933424754489959</v>
      </c>
      <c r="J31" s="58">
        <f>IFERROR(HistoricalFS!J6/(SUM(HistoricalFS!J47:J48)),0)</f>
        <v>2.6621246781376744</v>
      </c>
      <c r="K31" s="58">
        <f>IFERROR(HistoricalFS!K6/(SUM(HistoricalFS!K47:K48)),0)</f>
        <v>2.6945417704419774</v>
      </c>
      <c r="L31" s="58">
        <f>IFERROR(HistoricalFS!L6/(SUM(HistoricalFS!L47:L48)),0)</f>
        <v>2.4899384558000746</v>
      </c>
      <c r="M31" s="54"/>
      <c r="N31" s="58">
        <f t="shared" si="2"/>
        <v>2.0708083877026442</v>
      </c>
      <c r="O31" s="58">
        <f t="shared" si="1"/>
        <v>2.0253254425552045</v>
      </c>
    </row>
    <row r="32" spans="2:15" x14ac:dyDescent="0.3">
      <c r="M32" s="24"/>
    </row>
    <row r="33" spans="2:15" x14ac:dyDescent="0.3">
      <c r="B33" s="51" t="s">
        <v>171</v>
      </c>
      <c r="C33" s="61">
        <f>IFERROR(365/C27,0)</f>
        <v>69.979527999593103</v>
      </c>
      <c r="D33" s="61">
        <f t="shared" ref="D33:L33" si="4">IFERROR(365/D27,0)</f>
        <v>73.955314205874714</v>
      </c>
      <c r="E33" s="61">
        <f t="shared" si="4"/>
        <v>68.148884018489312</v>
      </c>
      <c r="F33" s="61">
        <f t="shared" si="4"/>
        <v>71.005103568675167</v>
      </c>
      <c r="G33" s="61">
        <f t="shared" si="4"/>
        <v>66.871943085815914</v>
      </c>
      <c r="H33" s="61">
        <f t="shared" si="4"/>
        <v>79.584519749262071</v>
      </c>
      <c r="I33" s="61">
        <f t="shared" si="4"/>
        <v>80.871869705222252</v>
      </c>
      <c r="J33" s="61">
        <f t="shared" si="4"/>
        <v>81.179631620678052</v>
      </c>
      <c r="K33" s="61">
        <f t="shared" si="4"/>
        <v>84.409573718099367</v>
      </c>
      <c r="L33" s="61">
        <f t="shared" si="4"/>
        <v>92.56054767228045</v>
      </c>
      <c r="M33" s="67"/>
      <c r="N33" s="61">
        <f t="shared" si="2"/>
        <v>76.856691534399047</v>
      </c>
      <c r="O33" s="61">
        <f t="shared" si="1"/>
        <v>76.769916977568386</v>
      </c>
    </row>
    <row r="34" spans="2:15" x14ac:dyDescent="0.3">
      <c r="B34" s="34" t="s">
        <v>172</v>
      </c>
      <c r="C34" s="62">
        <f t="shared" ref="C34:L34" si="5">IFERROR(365/C28,0)</f>
        <v>48.979790787175972</v>
      </c>
      <c r="D34" s="62">
        <f t="shared" si="5"/>
        <v>58.56117591629841</v>
      </c>
      <c r="E34" s="62">
        <f t="shared" si="5"/>
        <v>60.789721636181149</v>
      </c>
      <c r="F34" s="62">
        <f t="shared" si="5"/>
        <v>64.714365813098524</v>
      </c>
      <c r="G34" s="62">
        <f t="shared" si="5"/>
        <v>79.510893730546911</v>
      </c>
      <c r="H34" s="62">
        <f t="shared" si="5"/>
        <v>83.690327190045565</v>
      </c>
      <c r="I34" s="62">
        <f t="shared" si="5"/>
        <v>72.442117822388212</v>
      </c>
      <c r="J34" s="62">
        <f t="shared" si="5"/>
        <v>71.156613102082659</v>
      </c>
      <c r="K34" s="62">
        <f t="shared" si="5"/>
        <v>77.912240917422565</v>
      </c>
      <c r="L34" s="62">
        <f t="shared" si="5"/>
        <v>85.630193879882114</v>
      </c>
      <c r="M34" s="24"/>
      <c r="N34" s="62">
        <f t="shared" si="2"/>
        <v>70.33874407951221</v>
      </c>
      <c r="O34" s="62">
        <f t="shared" si="1"/>
        <v>71.799365462235443</v>
      </c>
    </row>
    <row r="35" spans="2:15" x14ac:dyDescent="0.3">
      <c r="B35" s="34" t="s">
        <v>173</v>
      </c>
      <c r="C35" s="62">
        <f>IFERROR(365/C29,0)</f>
        <v>6.497634911754234E-2</v>
      </c>
      <c r="D35" s="62">
        <f t="shared" ref="D35:L35" si="6">IFERROR(365/D29,0)</f>
        <v>7.7089290356121665E-2</v>
      </c>
      <c r="E35" s="62">
        <f t="shared" si="6"/>
        <v>2.4920969801246733E-2</v>
      </c>
      <c r="F35" s="62">
        <f t="shared" si="6"/>
        <v>1.1627981063912482E-2</v>
      </c>
      <c r="G35" s="62">
        <f t="shared" si="6"/>
        <v>1.7785682525566917E-2</v>
      </c>
      <c r="H35" s="62">
        <f t="shared" si="6"/>
        <v>3.8069610021172956E-2</v>
      </c>
      <c r="I35" s="62">
        <f t="shared" si="6"/>
        <v>4.5329950589466775E-2</v>
      </c>
      <c r="J35" s="62">
        <f t="shared" si="6"/>
        <v>4.2425475210985789E-2</v>
      </c>
      <c r="K35" s="62">
        <f t="shared" si="6"/>
        <v>3.0020679607087465E-2</v>
      </c>
      <c r="L35" s="62">
        <f t="shared" si="6"/>
        <v>3.9641076919043824E-2</v>
      </c>
      <c r="M35" s="24"/>
      <c r="N35" s="62">
        <f t="shared" si="2"/>
        <v>3.9188706521214693E-2</v>
      </c>
      <c r="O35" s="62">
        <f t="shared" si="1"/>
        <v>3.885534347010839E-2</v>
      </c>
    </row>
    <row r="36" spans="2:15" x14ac:dyDescent="0.3">
      <c r="B36" s="53" t="s">
        <v>174</v>
      </c>
      <c r="C36" s="63">
        <f>IFERROR(SUM(C33,C35)-C34,0)</f>
        <v>21.064713561534674</v>
      </c>
      <c r="D36" s="63">
        <f t="shared" ref="D36:L36" si="7">IFERROR(SUM(D33,D35)-D34,0)</f>
        <v>15.471227579932432</v>
      </c>
      <c r="E36" s="63">
        <f t="shared" si="7"/>
        <v>7.3840833521094069</v>
      </c>
      <c r="F36" s="63">
        <f t="shared" si="7"/>
        <v>6.302365736640553</v>
      </c>
      <c r="G36" s="63">
        <f t="shared" si="7"/>
        <v>-12.621164962205427</v>
      </c>
      <c r="H36" s="63">
        <f t="shared" si="7"/>
        <v>-4.0677378307623258</v>
      </c>
      <c r="I36" s="63">
        <f t="shared" si="7"/>
        <v>8.4750818334235021</v>
      </c>
      <c r="J36" s="63">
        <f t="shared" si="7"/>
        <v>10.065443993806383</v>
      </c>
      <c r="K36" s="63">
        <f t="shared" si="7"/>
        <v>6.5273534802838924</v>
      </c>
      <c r="L36" s="63">
        <f t="shared" si="7"/>
        <v>6.9699948693173752</v>
      </c>
      <c r="M36" s="54"/>
      <c r="N36" s="63">
        <f t="shared" si="2"/>
        <v>6.5571361614080477</v>
      </c>
      <c r="O36" s="63">
        <f t="shared" si="1"/>
        <v>7.1770391107133911</v>
      </c>
    </row>
    <row r="37" spans="2:15" x14ac:dyDescent="0.3">
      <c r="M37" s="24"/>
    </row>
    <row r="38" spans="2:15" x14ac:dyDescent="0.3">
      <c r="B38" s="51" t="s">
        <v>175</v>
      </c>
      <c r="C38" s="64">
        <f>IFERROR(HistoricalFS!C78/HistoricalFS!C6,0)</f>
        <v>0.21381584524354474</v>
      </c>
      <c r="D38" s="64">
        <f>IFERROR(HistoricalFS!D78/HistoricalFS!D6,0)</f>
        <v>0.20362457759292957</v>
      </c>
      <c r="E38" s="64">
        <f>IFERROR(HistoricalFS!E78/HistoricalFS!E6,0)</f>
        <v>0.19522336699371173</v>
      </c>
      <c r="F38" s="64">
        <f>IFERROR(HistoricalFS!F78/HistoricalFS!F6,0)</f>
        <v>0.20623896934673047</v>
      </c>
      <c r="G38" s="64">
        <f>IFERROR(HistoricalFS!G78/HistoricalFS!G6,0)</f>
        <v>0.23634248402638616</v>
      </c>
      <c r="H38" s="64">
        <f>IFERROR(HistoricalFS!H78/HistoricalFS!H6,0)</f>
        <v>0.20833463708710118</v>
      </c>
      <c r="I38" s="64">
        <f>IFERROR(HistoricalFS!I78/HistoricalFS!I6,0)</f>
        <v>0.18613222861907761</v>
      </c>
      <c r="J38" s="64">
        <f>IFERROR(HistoricalFS!J78/HistoricalFS!J6,0)</f>
        <v>0.18405682190848219</v>
      </c>
      <c r="K38" s="64">
        <f>IFERROR(HistoricalFS!K78/HistoricalFS!K6,0)</f>
        <v>0.19155269383215051</v>
      </c>
      <c r="L38" s="64">
        <f>IFERROR(HistoricalFS!L78/HistoricalFS!L6,0)</f>
        <v>0.1950932698177297</v>
      </c>
      <c r="M38" s="67"/>
      <c r="N38" s="56">
        <f t="shared" si="2"/>
        <v>0.20204148944678441</v>
      </c>
      <c r="O38" s="56">
        <f t="shared" si="1"/>
        <v>0.19942397229332065</v>
      </c>
    </row>
    <row r="39" spans="2:15" x14ac:dyDescent="0.3">
      <c r="B39" s="34" t="s">
        <v>176</v>
      </c>
      <c r="C39" s="65">
        <f>IFERROR(HistoricalFS!C78/HistoricalFS!C64,0)</f>
        <v>0.24647963022680855</v>
      </c>
      <c r="D39" s="65">
        <f>IFERROR(HistoricalFS!D78/HistoricalFS!D64,0)</f>
        <v>0.23844719669729658</v>
      </c>
      <c r="E39" s="65">
        <f>IFERROR(HistoricalFS!E78/HistoricalFS!E64,0)</f>
        <v>0.25103379250401664</v>
      </c>
      <c r="F39" s="65">
        <f>IFERROR(HistoricalFS!F78/HistoricalFS!F64,0)</f>
        <v>0.26945649187942761</v>
      </c>
      <c r="G39" s="65">
        <f>IFERROR(HistoricalFS!G78/HistoricalFS!G64,0)</f>
        <v>0.29849529201797032</v>
      </c>
      <c r="H39" s="65">
        <f>IFERROR(HistoricalFS!H78/HistoricalFS!H64,0)</f>
        <v>0.28347903834691041</v>
      </c>
      <c r="I39" s="65">
        <f>IFERROR(HistoricalFS!I78/HistoricalFS!I64,0)</f>
        <v>0.29375118123464394</v>
      </c>
      <c r="J39" s="65">
        <f>IFERROR(HistoricalFS!J78/HistoricalFS!J64,0)</f>
        <v>0.30478717553893531</v>
      </c>
      <c r="K39" s="65">
        <f>IFERROR(HistoricalFS!K78/HistoricalFS!K64,0)</f>
        <v>0.3082780225529313</v>
      </c>
      <c r="L39" s="65">
        <f>IFERROR(HistoricalFS!L78/HistoricalFS!L64,0)</f>
        <v>0.28754684903983618</v>
      </c>
      <c r="M39" s="24"/>
      <c r="N39" s="50">
        <f t="shared" si="2"/>
        <v>0.27817546700387769</v>
      </c>
      <c r="O39" s="50">
        <f t="shared" si="1"/>
        <v>0.28551294369337332</v>
      </c>
    </row>
    <row r="40" spans="2:15" x14ac:dyDescent="0.3">
      <c r="B40" s="53" t="s">
        <v>177</v>
      </c>
      <c r="C40" s="72">
        <f>IFERROR(HistoricalFS!C78/HistoricalFS!C49,0)</f>
        <v>87.27681660899654</v>
      </c>
      <c r="D40" s="66">
        <f>IFERROR(HistoricalFS!D78/HistoricalFS!D49,0)</f>
        <v>101.48582995951416</v>
      </c>
      <c r="E40" s="66">
        <f>IFERROR(HistoricalFS!E78/HistoricalFS!E49,0)</f>
        <v>461.17741935483872</v>
      </c>
      <c r="F40" s="66">
        <f>IFERROR(HistoricalFS!F78/HistoricalFS!F49,0)</f>
        <v>3.9599951064350378</v>
      </c>
      <c r="G40" s="66">
        <f>IFERROR(HistoricalFS!G78/HistoricalFS!G49,0)</f>
        <v>4.9778062860808214</v>
      </c>
      <c r="H40" s="66">
        <f>IFERROR(HistoricalFS!H78/HistoricalFS!H49,0)</f>
        <v>5.1098746482476338</v>
      </c>
      <c r="I40" s="66">
        <f>IFERROR(HistoricalFS!I78/HistoricalFS!I49,0)</f>
        <v>5.4585067637877209</v>
      </c>
      <c r="J40" s="66">
        <f>IFERROR(HistoricalFS!J78/HistoricalFS!J49,0)</f>
        <v>5.5277396833312551</v>
      </c>
      <c r="K40" s="66">
        <f>IFERROR(HistoricalFS!K78/HistoricalFS!K49,0)</f>
        <v>5.2074105621805789</v>
      </c>
      <c r="L40" s="66">
        <f>IFERROR(HistoricalFS!L78/HistoricalFS!L49,0)</f>
        <v>4.6170344766462819</v>
      </c>
      <c r="M40" s="54"/>
      <c r="N40" s="55">
        <f t="shared" si="2"/>
        <v>68.479843345005889</v>
      </c>
      <c r="O40" s="55">
        <f t="shared" si="1"/>
        <v>5.3329586629841499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B89A1DF2-8F12-4DAD-A7B0-7BBD6B21F553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Analysis'!C10:L10</xm:f>
              <xm:sqref>M10</xm:sqref>
            </x14:sparkline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markers="1" xr2:uid="{0B43A135-B4FC-4EB5-BA36-35AE8CCC193E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E7F9-C506-4E50-9A2C-02A63B010F28}">
  <dimension ref="B2:L40"/>
  <sheetViews>
    <sheetView showGridLines="0" topLeftCell="A17" workbookViewId="0">
      <selection activeCell="N30" sqref="N30"/>
    </sheetView>
  </sheetViews>
  <sheetFormatPr defaultRowHeight="14.4" x14ac:dyDescent="0.3"/>
  <cols>
    <col min="1" max="1" width="1.88671875" customWidth="1"/>
    <col min="2" max="2" width="18.21875" bestFit="1" customWidth="1"/>
  </cols>
  <sheetData>
    <row r="2" spans="2:12" x14ac:dyDescent="0.3">
      <c r="B2" s="73" t="str">
        <f>"Common Size Income Statement - "&amp;'Data Sheet'!$B$1</f>
        <v>Common Size Income Statement - TATA CONSULTANCY SERVICES LTD</v>
      </c>
      <c r="C2" s="73"/>
      <c r="D2" s="73"/>
      <c r="E2" s="73"/>
      <c r="F2" s="73"/>
      <c r="G2" s="73"/>
      <c r="H2" s="73"/>
      <c r="I2" s="73"/>
      <c r="J2" s="73"/>
      <c r="K2" s="73"/>
      <c r="L2" s="73"/>
    </row>
    <row r="4" spans="2:12" x14ac:dyDescent="0.3">
      <c r="B4" s="68" t="s">
        <v>178</v>
      </c>
      <c r="C4" s="69">
        <f>'Data Sheet'!B16</f>
        <v>42825</v>
      </c>
      <c r="D4" s="69">
        <f>'Data Sheet'!C16</f>
        <v>43190</v>
      </c>
      <c r="E4" s="69">
        <f>'Data Sheet'!D16</f>
        <v>43555</v>
      </c>
      <c r="F4" s="69">
        <f>'Data Sheet'!E16</f>
        <v>43921</v>
      </c>
      <c r="G4" s="69">
        <f>'Data Sheet'!F16</f>
        <v>44286</v>
      </c>
      <c r="H4" s="69">
        <f>'Data Sheet'!G16</f>
        <v>44651</v>
      </c>
      <c r="I4" s="69">
        <f>'Data Sheet'!H16</f>
        <v>45016</v>
      </c>
      <c r="J4" s="69">
        <f>'Data Sheet'!I16</f>
        <v>45382</v>
      </c>
      <c r="K4" s="69">
        <f>'Data Sheet'!J16</f>
        <v>45747</v>
      </c>
      <c r="L4" s="69">
        <f>'Data Sheet'!K16</f>
        <v>46112</v>
      </c>
    </row>
    <row r="6" spans="2:12" x14ac:dyDescent="0.3">
      <c r="B6" s="32" t="str">
        <f>'Data Sheet'!A17</f>
        <v>Sales</v>
      </c>
      <c r="C6" s="71">
        <f>IFERROR('Data Sheet'!B17/'Data Sheet'!B17,0)</f>
        <v>1</v>
      </c>
      <c r="D6" s="71">
        <f>IFERROR('Data Sheet'!C17/'Data Sheet'!C17,0)</f>
        <v>1</v>
      </c>
      <c r="E6" s="71">
        <f>IFERROR('Data Sheet'!D17/'Data Sheet'!D17,0)</f>
        <v>1</v>
      </c>
      <c r="F6" s="71">
        <f>IFERROR('Data Sheet'!E17/'Data Sheet'!E17,0)</f>
        <v>1</v>
      </c>
      <c r="G6" s="71">
        <f>IFERROR('Data Sheet'!F17/'Data Sheet'!F17,0)</f>
        <v>1</v>
      </c>
      <c r="H6" s="71">
        <f>IFERROR('Data Sheet'!G17/'Data Sheet'!G17,0)</f>
        <v>1</v>
      </c>
      <c r="I6" s="71">
        <f>IFERROR('Data Sheet'!H17/'Data Sheet'!H17,0)</f>
        <v>1</v>
      </c>
      <c r="J6" s="71">
        <f>IFERROR('Data Sheet'!I17/'Data Sheet'!I17,0)</f>
        <v>1</v>
      </c>
      <c r="K6" s="71">
        <f>IFERROR('Data Sheet'!J17/'Data Sheet'!J17,0)</f>
        <v>1</v>
      </c>
      <c r="L6" s="71">
        <f>IFERROR('Data Sheet'!K17/'Data Sheet'!K17,0)</f>
        <v>1</v>
      </c>
    </row>
    <row r="7" spans="2:12" x14ac:dyDescent="0.3">
      <c r="B7" s="70" t="str">
        <f>'Data Sheet'!A18</f>
        <v>Raw Material Cost</v>
      </c>
      <c r="C7" s="10">
        <f>IFERROR('Data Sheet'!B18/'Data Sheet'!B$17,0)</f>
        <v>7.9683976739060411E-4</v>
      </c>
      <c r="D7" s="10">
        <f>IFERROR('Data Sheet'!C18/'Data Sheet'!C$17,0)</f>
        <v>6.9859630881206132E-4</v>
      </c>
      <c r="E7" s="10">
        <f>IFERROR('Data Sheet'!D18/'Data Sheet'!D$17,0)</f>
        <v>2.7310651836982722E-4</v>
      </c>
      <c r="F7" s="10">
        <f>IFERROR('Data Sheet'!E18/'Data Sheet'!E$17,0)</f>
        <v>1.1468693652078064E-4</v>
      </c>
      <c r="G7" s="10">
        <f>IFERROR('Data Sheet'!F18/'Data Sheet'!F$17,0)</f>
        <v>8.5273820328060575E-5</v>
      </c>
      <c r="H7" s="10">
        <f>IFERROR('Data Sheet'!G18/'Data Sheet'!G$17,0)</f>
        <v>1.5123543707041314E-4</v>
      </c>
      <c r="I7" s="10">
        <f>IFERROR('Data Sheet'!H18/'Data Sheet'!H$17,0)</f>
        <v>1.6411038863114194E-4</v>
      </c>
      <c r="J7" s="10">
        <f>IFERROR('Data Sheet'!I18/'Data Sheet'!I$17,0)</f>
        <v>1.7435126799035256E-4</v>
      </c>
      <c r="K7" s="10">
        <f>IFERROR('Data Sheet'!J18/'Data Sheet'!J$17,0)</f>
        <v>1.9191302031928059E-4</v>
      </c>
      <c r="L7" s="10">
        <f>IFERROR('Data Sheet'!K18/'Data Sheet'!K$17,0)</f>
        <v>1.6103602338392862E-4</v>
      </c>
    </row>
    <row r="8" spans="2:12" x14ac:dyDescent="0.3">
      <c r="B8" s="70" t="str">
        <f>'Data Sheet'!A19</f>
        <v>Change in Inventory</v>
      </c>
      <c r="C8" s="10">
        <f>IFERROR('Data Sheet'!B19/'Data Sheet'!B$17,0)</f>
        <v>8.4770188020277028E-6</v>
      </c>
      <c r="D8" s="10">
        <f>IFERROR('Data Sheet'!C19/'Data Sheet'!C$17,0)</f>
        <v>0</v>
      </c>
      <c r="E8" s="10">
        <f>IFERROR('Data Sheet'!D19/'Data Sheet'!D$17,0)</f>
        <v>0</v>
      </c>
      <c r="F8" s="10">
        <f>IFERROR('Data Sheet'!E19/'Data Sheet'!E$17,0)</f>
        <v>0</v>
      </c>
      <c r="G8" s="10">
        <f>IFERROR('Data Sheet'!F19/'Data Sheet'!F$17,0)</f>
        <v>0</v>
      </c>
      <c r="H8" s="10">
        <f>IFERROR('Data Sheet'!G19/'Data Sheet'!G$17,0)</f>
        <v>0</v>
      </c>
      <c r="I8" s="10">
        <f>IFERROR('Data Sheet'!H19/'Data Sheet'!H$17,0)</f>
        <v>0</v>
      </c>
      <c r="J8" s="10">
        <f>IFERROR('Data Sheet'!I19/'Data Sheet'!I$17,0)</f>
        <v>0</v>
      </c>
      <c r="K8" s="10">
        <f>IFERROR('Data Sheet'!J19/'Data Sheet'!J$17,0)</f>
        <v>0</v>
      </c>
      <c r="L8" s="10">
        <f>IFERROR('Data Sheet'!K19/'Data Sheet'!K$17,0)</f>
        <v>0</v>
      </c>
    </row>
    <row r="9" spans="2:12" x14ac:dyDescent="0.3">
      <c r="B9" s="70" t="str">
        <f>'Data Sheet'!A20</f>
        <v>Power and Fuel</v>
      </c>
      <c r="C9" s="10">
        <f>IFERROR('Data Sheet'!B20/'Data Sheet'!B$17,0)</f>
        <v>0</v>
      </c>
      <c r="D9" s="10">
        <f>IFERROR('Data Sheet'!C20/'Data Sheet'!C$17,0)</f>
        <v>0</v>
      </c>
      <c r="E9" s="10">
        <f>IFERROR('Data Sheet'!D20/'Data Sheet'!D$17,0)</f>
        <v>0</v>
      </c>
      <c r="F9" s="10">
        <f>IFERROR('Data Sheet'!E20/'Data Sheet'!E$17,0)</f>
        <v>0</v>
      </c>
      <c r="G9" s="10">
        <f>IFERROR('Data Sheet'!F20/'Data Sheet'!F$17,0)</f>
        <v>0</v>
      </c>
      <c r="H9" s="10">
        <f>IFERROR('Data Sheet'!G20/'Data Sheet'!G$17,0)</f>
        <v>0</v>
      </c>
      <c r="I9" s="10">
        <f>IFERROR('Data Sheet'!H20/'Data Sheet'!H$17,0)</f>
        <v>0</v>
      </c>
      <c r="J9" s="10">
        <f>IFERROR('Data Sheet'!I20/'Data Sheet'!I$17,0)</f>
        <v>0</v>
      </c>
      <c r="K9" s="10">
        <f>IFERROR('Data Sheet'!J20/'Data Sheet'!J$17,0)</f>
        <v>0</v>
      </c>
      <c r="L9" s="10">
        <f>IFERROR('Data Sheet'!K20/'Data Sheet'!K$17,0)</f>
        <v>0</v>
      </c>
    </row>
    <row r="10" spans="2:12" x14ac:dyDescent="0.3">
      <c r="B10" s="70" t="str">
        <f>'Data Sheet'!A21</f>
        <v>Other Mfr. Exp</v>
      </c>
      <c r="C10" s="10">
        <f>IFERROR('Data Sheet'!B21/'Data Sheet'!B$17,0)</f>
        <v>2.3015106047505212E-2</v>
      </c>
      <c r="D10" s="10">
        <f>IFERROR('Data Sheet'!C21/'Data Sheet'!C$17,0)</f>
        <v>2.12340785027294E-2</v>
      </c>
      <c r="E10" s="10">
        <f>IFERROR('Data Sheet'!D21/'Data Sheet'!D$17,0)</f>
        <v>1.5225688399117867E-2</v>
      </c>
      <c r="F10" s="10">
        <f>IFERROR('Data Sheet'!E21/'Data Sheet'!E$17,0)</f>
        <v>1.2023013845261837E-2</v>
      </c>
      <c r="G10" s="10">
        <f>IFERROR('Data Sheet'!F21/'Data Sheet'!F$17,0)</f>
        <v>8.8197494167879791E-3</v>
      </c>
      <c r="H10" s="10">
        <f>IFERROR('Data Sheet'!G21/'Data Sheet'!G$17,0)</f>
        <v>5.9138270909602931E-3</v>
      </c>
      <c r="I10" s="10">
        <f>IFERROR('Data Sheet'!H21/'Data Sheet'!H$17,0)</f>
        <v>8.1789069361033976E-3</v>
      </c>
      <c r="J10" s="10">
        <f>IFERROR('Data Sheet'!I21/'Data Sheet'!I$17,0)</f>
        <v>1.5193467639159295E-2</v>
      </c>
      <c r="K10" s="10">
        <f>IFERROR('Data Sheet'!J21/'Data Sheet'!J$17,0)</f>
        <v>4.5428553524149706E-2</v>
      </c>
      <c r="L10" s="10">
        <f>IFERROR('Data Sheet'!K21/'Data Sheet'!K$17,0)</f>
        <v>1.6313323671171932E-2</v>
      </c>
    </row>
    <row r="11" spans="2:12" x14ac:dyDescent="0.3">
      <c r="B11" s="70" t="str">
        <f>'Data Sheet'!A22</f>
        <v>Employee Cost</v>
      </c>
      <c r="C11" s="10">
        <f>IFERROR('Data Sheet'!B22/'Data Sheet'!B$17,0)</f>
        <v>0.52236237559974907</v>
      </c>
      <c r="D11" s="10">
        <f>IFERROR('Data Sheet'!C22/'Data Sheet'!C$17,0)</f>
        <v>0.53934884325448407</v>
      </c>
      <c r="E11" s="10">
        <f>IFERROR('Data Sheet'!D22/'Data Sheet'!D$17,0)</f>
        <v>0.53423731590913748</v>
      </c>
      <c r="F11" s="10">
        <f>IFERROR('Data Sheet'!E22/'Data Sheet'!E$17,0)</f>
        <v>0.54764286487967428</v>
      </c>
      <c r="G11" s="10">
        <f>IFERROR('Data Sheet'!F22/'Data Sheet'!F$17,0)</f>
        <v>0.55923789568575377</v>
      </c>
      <c r="H11" s="10">
        <f>IFERROR('Data Sheet'!G22/'Data Sheet'!G$17,0)</f>
        <v>0.56089573098866252</v>
      </c>
      <c r="I11" s="10">
        <f>IFERROR('Data Sheet'!H22/'Data Sheet'!H$17,0)</f>
        <v>0.56561310754109417</v>
      </c>
      <c r="J11" s="10">
        <f>IFERROR('Data Sheet'!I22/'Data Sheet'!I$17,0)</f>
        <v>0.5817147032084784</v>
      </c>
      <c r="K11" s="10">
        <f>IFERROR('Data Sheet'!J22/'Data Sheet'!J$17,0)</f>
        <v>0.57099215114912816</v>
      </c>
      <c r="L11" s="10">
        <f>IFERROR('Data Sheet'!K22/'Data Sheet'!K$17,0)</f>
        <v>0.58045621879927045</v>
      </c>
    </row>
    <row r="12" spans="2:12" x14ac:dyDescent="0.3">
      <c r="B12" s="70" t="str">
        <f>'Data Sheet'!A23</f>
        <v>Selling and admin</v>
      </c>
      <c r="C12" s="10">
        <f>IFERROR('Data Sheet'!B23/'Data Sheet'!B$17,0)</f>
        <v>0.13895529220283812</v>
      </c>
      <c r="D12" s="10">
        <f>IFERROR('Data Sheet'!C23/'Data Sheet'!C$17,0)</f>
        <v>0.13653496230829218</v>
      </c>
      <c r="E12" s="10">
        <f>IFERROR('Data Sheet'!D23/'Data Sheet'!D$17,0)</f>
        <v>0.13919556475014166</v>
      </c>
      <c r="F12" s="10">
        <f>IFERROR('Data Sheet'!E23/'Data Sheet'!E$17,0)</f>
        <v>0.13078770810900356</v>
      </c>
      <c r="G12" s="10">
        <f>IFERROR('Data Sheet'!F23/'Data Sheet'!F$17,0)</f>
        <v>0.11159906686076612</v>
      </c>
      <c r="H12" s="10">
        <f>IFERROR('Data Sheet'!G23/'Data Sheet'!G$17,0)</f>
        <v>0.1209205544604024</v>
      </c>
      <c r="I12" s="10">
        <f>IFERROR('Data Sheet'!H23/'Data Sheet'!H$17,0)</f>
        <v>0.12824118017546504</v>
      </c>
      <c r="J12" s="10">
        <f>IFERROR('Data Sheet'!I23/'Data Sheet'!I$17,0)</f>
        <v>0.10025613031511917</v>
      </c>
      <c r="K12" s="10">
        <f>IFERROR('Data Sheet'!J23/'Data Sheet'!J$17,0)</f>
        <v>8.1187040779558517E-2</v>
      </c>
      <c r="L12" s="10">
        <f>IFERROR('Data Sheet'!K23/'Data Sheet'!K$17,0)</f>
        <v>9.1505911520067706E-2</v>
      </c>
    </row>
    <row r="13" spans="2:12" x14ac:dyDescent="0.3">
      <c r="B13" s="70" t="str">
        <f>'Data Sheet'!A24</f>
        <v>Other Expenses</v>
      </c>
      <c r="C13" s="10">
        <f>IFERROR('Data Sheet'!B24/'Data Sheet'!B$17,0)</f>
        <v>4.0977908889001914E-2</v>
      </c>
      <c r="D13" s="10">
        <f>IFERROR('Data Sheet'!C24/'Data Sheet'!C$17,0)</f>
        <v>3.8049129191577852E-2</v>
      </c>
      <c r="E13" s="10">
        <f>IFERROR('Data Sheet'!D24/'Data Sheet'!D$17,0)</f>
        <v>4.1334671555273345E-2</v>
      </c>
      <c r="F13" s="10">
        <f>IFERROR('Data Sheet'!E24/'Data Sheet'!E$17,0)</f>
        <v>4.1134381232119988E-2</v>
      </c>
      <c r="G13" s="10">
        <f>IFERROR('Data Sheet'!F24/'Data Sheet'!F$17,0)</f>
        <v>3.6746925574227818E-2</v>
      </c>
      <c r="H13" s="10">
        <f>IFERROR('Data Sheet'!G24/'Data Sheet'!G$17,0)</f>
        <v>3.5425597379976428E-2</v>
      </c>
      <c r="I13" s="10">
        <f>IFERROR('Data Sheet'!H24/'Data Sheet'!H$17,0)</f>
        <v>3.4964383610251136E-2</v>
      </c>
      <c r="J13" s="10">
        <f>IFERROR('Data Sheet'!I24/'Data Sheet'!I$17,0)</f>
        <v>3.5754463600021588E-2</v>
      </c>
      <c r="K13" s="10">
        <f>IFERROR('Data Sheet'!J24/'Data Sheet'!J$17,0)</f>
        <v>3.8194607635788254E-2</v>
      </c>
      <c r="L13" s="10">
        <f>IFERROR('Data Sheet'!K24/'Data Sheet'!K$17,0)</f>
        <v>4.0431276940764961E-2</v>
      </c>
    </row>
    <row r="14" spans="2:12" x14ac:dyDescent="0.3">
      <c r="B14" s="70" t="str">
        <f>'Data Sheet'!A25</f>
        <v>Other Income</v>
      </c>
      <c r="C14" s="10">
        <f>IFERROR('Data Sheet'!B25/'Data Sheet'!B$17,0)</f>
        <v>3.5781496363358936E-2</v>
      </c>
      <c r="D14" s="10">
        <f>IFERROR('Data Sheet'!C25/'Data Sheet'!C$17,0)</f>
        <v>2.9584741356901482E-2</v>
      </c>
      <c r="E14" s="10">
        <f>IFERROR('Data Sheet'!D25/'Data Sheet'!D$17,0)</f>
        <v>2.9434055017308124E-2</v>
      </c>
      <c r="F14" s="10">
        <f>IFERROR('Data Sheet'!E25/'Data Sheet'!E$17,0)</f>
        <v>2.9257911805745815E-2</v>
      </c>
      <c r="G14" s="10">
        <f>IFERROR('Data Sheet'!F25/'Data Sheet'!F$17,0)</f>
        <v>1.1670331410611717E-2</v>
      </c>
      <c r="H14" s="10">
        <f>IFERROR('Data Sheet'!G25/'Data Sheet'!G$17,0)</f>
        <v>2.0953930556859308E-2</v>
      </c>
      <c r="I14" s="10">
        <f>IFERROR('Data Sheet'!H25/'Data Sheet'!H$17,0)</f>
        <v>1.5297749469967798E-2</v>
      </c>
      <c r="J14" s="10">
        <f>IFERROR('Data Sheet'!I25/'Data Sheet'!I$17,0)</f>
        <v>1.4379828388537649E-2</v>
      </c>
      <c r="K14" s="10">
        <f>IFERROR('Data Sheet'!J25/'Data Sheet'!J$17,0)</f>
        <v>1.5517538500101831E-2</v>
      </c>
      <c r="L14" s="10">
        <f>IFERROR('Data Sheet'!K25/'Data Sheet'!K$17,0)</f>
        <v>-4.6438295115365459E-4</v>
      </c>
    </row>
    <row r="15" spans="2:12" x14ac:dyDescent="0.3">
      <c r="B15" s="70" t="str">
        <f>'Data Sheet'!A26</f>
        <v>Depreciation</v>
      </c>
      <c r="C15" s="10">
        <f>IFERROR('Data Sheet'!B26/'Data Sheet'!B$17,0)</f>
        <v>1.6843836359629046E-2</v>
      </c>
      <c r="D15" s="10">
        <f>IFERROR('Data Sheet'!C26/'Data Sheet'!C$17,0)</f>
        <v>1.6360150766831297E-2</v>
      </c>
      <c r="E15" s="10">
        <f>IFERROR('Data Sheet'!D26/'Data Sheet'!D$17,0)</f>
        <v>1.4037675044209118E-2</v>
      </c>
      <c r="F15" s="10">
        <f>IFERROR('Data Sheet'!E26/'Data Sheet'!E$17,0)</f>
        <v>2.248501105454638E-2</v>
      </c>
      <c r="G15" s="10">
        <f>IFERROR('Data Sheet'!F26/'Data Sheet'!F$17,0)</f>
        <v>2.4759862830969016E-2</v>
      </c>
      <c r="H15" s="10">
        <f>IFERROR('Data Sheet'!G26/'Data Sheet'!G$17,0)</f>
        <v>2.4009929388695932E-2</v>
      </c>
      <c r="I15" s="10">
        <f>IFERROR('Data Sheet'!H26/'Data Sheet'!H$17,0)</f>
        <v>2.2274658694745805E-2</v>
      </c>
      <c r="J15" s="10">
        <f>IFERROR('Data Sheet'!I26/'Data Sheet'!I$17,0)</f>
        <v>2.0693835022188273E-2</v>
      </c>
      <c r="K15" s="10">
        <f>IFERROR('Data Sheet'!J26/'Data Sheet'!J$17,0)</f>
        <v>2.053077658191161E-2</v>
      </c>
      <c r="L15" s="10">
        <f>IFERROR('Data Sheet'!K26/'Data Sheet'!K$17,0)</f>
        <v>2.0822332325921931E-2</v>
      </c>
    </row>
    <row r="16" spans="2:12" x14ac:dyDescent="0.3">
      <c r="B16" s="70" t="str">
        <f>'Data Sheet'!A27</f>
        <v>Interest</v>
      </c>
      <c r="C16" s="10">
        <f>IFERROR('Data Sheet'!B27/'Data Sheet'!B$17,0)</f>
        <v>2.7126460166488649E-4</v>
      </c>
      <c r="D16" s="10">
        <f>IFERROR('Data Sheet'!C27/'Data Sheet'!C$17,0)</f>
        <v>4.224070704445022E-4</v>
      </c>
      <c r="E16" s="10">
        <f>IFERROR('Data Sheet'!D27/'Data Sheet'!D$17,0)</f>
        <v>1.3518772659306445E-3</v>
      </c>
      <c r="F16" s="10">
        <f>IFERROR('Data Sheet'!E27/'Data Sheet'!E$17,0)</f>
        <v>5.8872627414000723E-3</v>
      </c>
      <c r="G16" s="10">
        <f>IFERROR('Data Sheet'!F27/'Data Sheet'!F$17,0)</f>
        <v>3.879958824926756E-3</v>
      </c>
      <c r="H16" s="10">
        <f>IFERROR('Data Sheet'!G27/'Data Sheet'!G$17,0)</f>
        <v>4.0885718159725483E-3</v>
      </c>
      <c r="I16" s="10">
        <f>IFERROR('Data Sheet'!H27/'Data Sheet'!H$17,0)</f>
        <v>3.4551889930718805E-3</v>
      </c>
      <c r="J16" s="10">
        <f>IFERROR('Data Sheet'!I27/'Data Sheet'!I$17,0)</f>
        <v>3.2296496784879592E-3</v>
      </c>
      <c r="K16" s="10">
        <f>IFERROR('Data Sheet'!J27/'Data Sheet'!J$17,0)</f>
        <v>3.1176074321254562E-3</v>
      </c>
      <c r="L16" s="10">
        <f>IFERROR('Data Sheet'!K27/'Data Sheet'!K$17,0)</f>
        <v>4.595144202141405E-3</v>
      </c>
    </row>
    <row r="17" spans="2:12" x14ac:dyDescent="0.3">
      <c r="B17" s="70" t="str">
        <f>'Data Sheet'!A28</f>
        <v>Profit before tax</v>
      </c>
      <c r="C17" s="10">
        <f>IFERROR('Data Sheet'!B28/'Data Sheet'!B$17,0)</f>
        <v>0.2925673499143821</v>
      </c>
      <c r="D17" s="10">
        <f>IFERROR('Data Sheet'!C28/'Data Sheet'!C$17,0)</f>
        <v>0.27693657395373017</v>
      </c>
      <c r="E17" s="10">
        <f>IFERROR('Data Sheet'!D28/'Data Sheet'!D$17,0)</f>
        <v>0.2837781555751282</v>
      </c>
      <c r="F17" s="10">
        <f>IFERROR('Data Sheet'!E28/'Data Sheet'!E$17,0)</f>
        <v>0.26918298300721888</v>
      </c>
      <c r="G17" s="10">
        <f>IFERROR('Data Sheet'!F28/'Data Sheet'!F$17,0)</f>
        <v>0.26654159839685215</v>
      </c>
      <c r="H17" s="10">
        <f>IFERROR('Data Sheet'!G28/'Data Sheet'!G$17,0)</f>
        <v>0.26954848399511877</v>
      </c>
      <c r="I17" s="10">
        <f>IFERROR('Data Sheet'!H28/'Data Sheet'!H$17,0)</f>
        <v>0.25240621313060524</v>
      </c>
      <c r="J17" s="10">
        <f>IFERROR('Data Sheet'!I28/'Data Sheet'!I$17,0)</f>
        <v>0.25736322765709257</v>
      </c>
      <c r="K17" s="10">
        <f>IFERROR('Data Sheet'!J28/'Data Sheet'!J$17,0)</f>
        <v>0.25587488837712086</v>
      </c>
      <c r="L17" s="10">
        <f>IFERROR('Data Sheet'!K28/'Data Sheet'!K$17,0)</f>
        <v>0.245250373566124</v>
      </c>
    </row>
    <row r="18" spans="2:12" x14ac:dyDescent="0.3">
      <c r="B18" s="70" t="str">
        <f>'Data Sheet'!A29</f>
        <v>Tax</v>
      </c>
      <c r="C18" s="10">
        <f>IFERROR('Data Sheet'!B29/'Data Sheet'!B$17,0)</f>
        <v>6.9138565349337947E-2</v>
      </c>
      <c r="D18" s="10">
        <f>IFERROR('Data Sheet'!C29/'Data Sheet'!C$17,0)</f>
        <v>6.6707824278658692E-2</v>
      </c>
      <c r="E18" s="10">
        <f>IFERROR('Data Sheet'!D29/'Data Sheet'!D$17,0)</f>
        <v>6.8283457255416041E-2</v>
      </c>
      <c r="F18" s="10">
        <f>IFERROR('Data Sheet'!E29/'Data Sheet'!E$17,0)</f>
        <v>6.2447036935565053E-2</v>
      </c>
      <c r="G18" s="10">
        <f>IFERROR('Data Sheet'!F29/'Data Sheet'!F$17,0)</f>
        <v>6.8206874288115879E-2</v>
      </c>
      <c r="H18" s="10">
        <f>IFERROR('Data Sheet'!G29/'Data Sheet'!G$17,0)</f>
        <v>6.9036369515107901E-2</v>
      </c>
      <c r="I18" s="10">
        <f>IFERROR('Data Sheet'!H29/'Data Sheet'!H$17,0)</f>
        <v>6.4774813934302622E-2</v>
      </c>
      <c r="J18" s="10">
        <f>IFERROR('Data Sheet'!I29/'Data Sheet'!I$17,0)</f>
        <v>6.5996106155014889E-2</v>
      </c>
      <c r="K18" s="10">
        <f>IFERROR('Data Sheet'!J29/'Data Sheet'!J$17,0)</f>
        <v>6.4756936284877248E-2</v>
      </c>
      <c r="L18" s="10">
        <f>IFERROR('Data Sheet'!K29/'Data Sheet'!K$17,0)</f>
        <v>6.0043966579407609E-2</v>
      </c>
    </row>
    <row r="19" spans="2:12" x14ac:dyDescent="0.3">
      <c r="B19" s="70" t="str">
        <f>'Data Sheet'!A30</f>
        <v>Net profit</v>
      </c>
      <c r="C19" s="10">
        <f>IFERROR('Data Sheet'!B30/'Data Sheet'!B$17,0)</f>
        <v>0.22285234728650627</v>
      </c>
      <c r="D19" s="10">
        <f>IFERROR('Data Sheet'!C30/'Data Sheet'!C$17,0)</f>
        <v>0.20979009617884065</v>
      </c>
      <c r="E19" s="10">
        <f>IFERROR('Data Sheet'!D30/'Data Sheet'!D$17,0)</f>
        <v>0.21488020865338003</v>
      </c>
      <c r="F19" s="10">
        <f>IFERROR('Data Sheet'!E30/'Data Sheet'!E$17,0)</f>
        <v>0.20605419594900254</v>
      </c>
      <c r="G19" s="10">
        <f>IFERROR('Data Sheet'!F30/'Data Sheet'!F$17,0)</f>
        <v>0.19753071380278603</v>
      </c>
      <c r="H19" s="10">
        <f>IFERROR('Data Sheet'!G30/'Data Sheet'!G$17,0)</f>
        <v>0.19987588264130082</v>
      </c>
      <c r="I19" s="10">
        <f>IFERROR('Data Sheet'!H30/'Data Sheet'!H$17,0)</f>
        <v>0.18693947431450647</v>
      </c>
      <c r="J19" s="10">
        <f>IFERROR('Data Sheet'!I30/'Data Sheet'!I$17,0)</f>
        <v>0.19057423835478823</v>
      </c>
      <c r="K19" s="10">
        <f>IFERROR('Data Sheet'!J30/'Data Sheet'!J$17,0)</f>
        <v>0.1901623035828986</v>
      </c>
      <c r="L19" s="10">
        <f>IFERROR('Data Sheet'!K30/'Data Sheet'!K$17,0)</f>
        <v>0.1842926211796076</v>
      </c>
    </row>
    <row r="20" spans="2:12" x14ac:dyDescent="0.3">
      <c r="B20" s="70" t="str">
        <f>'Data Sheet'!A31</f>
        <v>Dividend Amount</v>
      </c>
      <c r="C20" s="10">
        <f>IFERROR('Data Sheet'!B31/'Data Sheet'!B$17,0)</f>
        <v>7.8488717087974502E-2</v>
      </c>
      <c r="D20" s="10">
        <f>IFERROR('Data Sheet'!C31/'Data Sheet'!C$17,0)</f>
        <v>7.7576683129711457E-2</v>
      </c>
      <c r="E20" s="10">
        <f>IFERROR('Data Sheet'!D31/'Data Sheet'!D$17,0)</f>
        <v>7.6811208291513902E-2</v>
      </c>
      <c r="F20" s="10">
        <f>IFERROR('Data Sheet'!E31/'Data Sheet'!E$17,0)</f>
        <v>0.17441971595868722</v>
      </c>
      <c r="G20" s="10">
        <f>IFERROR('Data Sheet'!F31/'Data Sheet'!F$17,0)</f>
        <v>8.5639279558037976E-2</v>
      </c>
      <c r="H20" s="10">
        <f>IFERROR('Data Sheet'!G31/'Data Sheet'!G$17,0)</f>
        <v>8.2073907193591783E-2</v>
      </c>
      <c r="I20" s="10">
        <f>IFERROR('Data Sheet'!H31/'Data Sheet'!H$17,0)</f>
        <v>0.18668665560769634</v>
      </c>
      <c r="J20" s="10">
        <f>IFERROR('Data Sheet'!I31/'Data Sheet'!I$17,0)</f>
        <v>0.10970015733126326</v>
      </c>
      <c r="K20" s="10">
        <f>IFERROR('Data Sheet'!J31/'Data Sheet'!J$17,0)</f>
        <v>0.17864360577149035</v>
      </c>
      <c r="L20" s="10">
        <f>IFERROR('Data Sheet'!K31/'Data Sheet'!K$17,0)</f>
        <v>0.14912684770111714</v>
      </c>
    </row>
    <row r="21" spans="2:12" x14ac:dyDescent="0.3">
      <c r="B21" s="70" t="str">
        <f>'Data Sheet'!A33</f>
        <v>EBITDA</v>
      </c>
      <c r="C21" s="10">
        <f>IFERROR('Data Sheet'!B33/'Data Sheet'!B$17,0)</f>
        <v>0.30910601359713819</v>
      </c>
      <c r="D21" s="10">
        <f>IFERROR('Data Sheet'!C33/'Data Sheet'!C$17,0)</f>
        <v>0.29328047829477516</v>
      </c>
      <c r="E21" s="10">
        <f>IFERROR('Data Sheet'!D33/'Data Sheet'!D$17,0)</f>
        <v>0.29855321821893582</v>
      </c>
      <c r="F21" s="10">
        <f>IFERROR('Data Sheet'!E33/'Data Sheet'!E$17,0)</f>
        <v>0.29687350668051404</v>
      </c>
      <c r="G21" s="10">
        <f>IFERROR('Data Sheet'!F33/'Data Sheet'!F$17,0)</f>
        <v>0.29437740974679766</v>
      </c>
      <c r="H21" s="10">
        <f>IFERROR('Data Sheet'!G33/'Data Sheet'!G$17,0)</f>
        <v>0.29701075336107724</v>
      </c>
      <c r="I21" s="10">
        <f>IFERROR('Data Sheet'!H33/'Data Sheet'!H$17,0)</f>
        <v>0.27744413593662676</v>
      </c>
      <c r="J21" s="10">
        <f>IFERROR('Data Sheet'!I33/'Data Sheet'!I$17,0)</f>
        <v>0.28049382921047933</v>
      </c>
      <c r="K21" s="10">
        <f>IFERROR('Data Sheet'!J33/'Data Sheet'!J$17,0)</f>
        <v>0.27856762388181289</v>
      </c>
      <c r="L21" s="10">
        <f>IFERROR('Data Sheet'!K33/'Data Sheet'!K$17,0)</f>
        <v>0.26975406428707854</v>
      </c>
    </row>
    <row r="23" spans="2:12" x14ac:dyDescent="0.3">
      <c r="B23" s="73" t="str">
        <f>"Common Size Balance Sheet - "&amp;'Data Sheet'!$B$1</f>
        <v>Common Size Balance Sheet - TATA CONSULTANCY SERVICES LTD</v>
      </c>
      <c r="C23" s="73"/>
      <c r="D23" s="73"/>
      <c r="E23" s="73"/>
      <c r="F23" s="73"/>
      <c r="G23" s="73"/>
      <c r="H23" s="73"/>
      <c r="I23" s="73"/>
      <c r="J23" s="73"/>
      <c r="K23" s="73"/>
      <c r="L23" s="73"/>
    </row>
    <row r="25" spans="2:12" x14ac:dyDescent="0.3">
      <c r="B25" s="68" t="s">
        <v>178</v>
      </c>
      <c r="C25" s="69">
        <f>C4</f>
        <v>42825</v>
      </c>
      <c r="D25" s="69">
        <f t="shared" ref="D25:L25" si="0">D4</f>
        <v>43190</v>
      </c>
      <c r="E25" s="69">
        <f t="shared" si="0"/>
        <v>43555</v>
      </c>
      <c r="F25" s="69">
        <f t="shared" si="0"/>
        <v>43921</v>
      </c>
      <c r="G25" s="69">
        <f t="shared" si="0"/>
        <v>44286</v>
      </c>
      <c r="H25" s="69">
        <f t="shared" si="0"/>
        <v>44651</v>
      </c>
      <c r="I25" s="69">
        <f t="shared" si="0"/>
        <v>45016</v>
      </c>
      <c r="J25" s="69">
        <f t="shared" si="0"/>
        <v>45382</v>
      </c>
      <c r="K25" s="69">
        <f t="shared" si="0"/>
        <v>45747</v>
      </c>
      <c r="L25" s="69">
        <f t="shared" si="0"/>
        <v>46112</v>
      </c>
    </row>
    <row r="27" spans="2:12" x14ac:dyDescent="0.3">
      <c r="B27" s="9" t="s">
        <v>102</v>
      </c>
      <c r="C27" s="71">
        <f>IFERROR('Data Sheet'!B61/'Data Sheet'!B$61,0)</f>
        <v>1</v>
      </c>
      <c r="D27" s="71">
        <f>IFERROR('Data Sheet'!C61/'Data Sheet'!C$61,0)</f>
        <v>1</v>
      </c>
      <c r="E27" s="71">
        <f>IFERROR('Data Sheet'!D61/'Data Sheet'!D$61,0)</f>
        <v>1</v>
      </c>
      <c r="F27" s="71">
        <f>IFERROR('Data Sheet'!E61/'Data Sheet'!E$61,0)</f>
        <v>1</v>
      </c>
      <c r="G27" s="71">
        <f>IFERROR('Data Sheet'!F61/'Data Sheet'!F$61,0)</f>
        <v>1</v>
      </c>
      <c r="H27" s="71">
        <f>IFERROR('Data Sheet'!G61/'Data Sheet'!G$61,0)</f>
        <v>1</v>
      </c>
      <c r="I27" s="71">
        <f>IFERROR('Data Sheet'!H61/'Data Sheet'!H$61,0)</f>
        <v>1</v>
      </c>
      <c r="J27" s="71">
        <f>IFERROR('Data Sheet'!I61/'Data Sheet'!I$61,0)</f>
        <v>1</v>
      </c>
      <c r="K27" s="71">
        <f>IFERROR('Data Sheet'!J61/'Data Sheet'!J$61,0)</f>
        <v>1</v>
      </c>
      <c r="L27" s="71">
        <f>IFERROR('Data Sheet'!K61/'Data Sheet'!K$61,0)</f>
        <v>1</v>
      </c>
    </row>
    <row r="28" spans="2:12" x14ac:dyDescent="0.3">
      <c r="B28" s="70" t="str">
        <f>'Data Sheet'!A57</f>
        <v>Equity Share Capital</v>
      </c>
      <c r="C28" s="10">
        <f>IFERROR('Data Sheet'!B57/'Data Sheet'!B$61,0)</f>
        <v>1.9250877038687422E-3</v>
      </c>
      <c r="D28" s="10">
        <f>IFERROR('Data Sheet'!C57/'Data Sheet'!C$61,0)</f>
        <v>1.8168673781937864E-3</v>
      </c>
      <c r="E28" s="10">
        <f>IFERROR('Data Sheet'!D57/'Data Sheet'!D$61,0)</f>
        <v>3.2923328153396372E-3</v>
      </c>
      <c r="F28" s="10">
        <f>IFERROR('Data Sheet'!E57/'Data Sheet'!E$61,0)</f>
        <v>3.1216962048498673E-3</v>
      </c>
      <c r="G28" s="10">
        <f>IFERROR('Data Sheet'!F57/'Data Sheet'!F$61,0)</f>
        <v>2.8463290048618378E-3</v>
      </c>
      <c r="H28" s="10">
        <f>IFERROR('Data Sheet'!G57/'Data Sheet'!G$61,0)</f>
        <v>2.5971445601884703E-3</v>
      </c>
      <c r="I28" s="10">
        <f>IFERROR('Data Sheet'!H57/'Data Sheet'!H$61,0)</f>
        <v>2.5619666944329722E-3</v>
      </c>
      <c r="J28" s="10">
        <f>IFERROR('Data Sheet'!I57/'Data Sheet'!I$61,0)</f>
        <v>2.4884513858337001E-3</v>
      </c>
      <c r="K28" s="10">
        <f>IFERROR('Data Sheet'!J57/'Data Sheet'!J$61,0)</f>
        <v>2.2817666672969891E-3</v>
      </c>
      <c r="L28" s="10">
        <f>IFERROR('Data Sheet'!K57/'Data Sheet'!K$61,0)</f>
        <v>1.9981563971363438E-3</v>
      </c>
    </row>
    <row r="29" spans="2:12" x14ac:dyDescent="0.3">
      <c r="B29" s="70" t="str">
        <f>'Data Sheet'!A58</f>
        <v>Reserves</v>
      </c>
      <c r="C29" s="10">
        <f>IFERROR('Data Sheet'!B58/'Data Sheet'!B$61,0)</f>
        <v>0.8405597412369421</v>
      </c>
      <c r="D29" s="10">
        <f>IFERROR('Data Sheet'!C58/'Data Sheet'!C$61,0)</f>
        <v>0.80795426440652174</v>
      </c>
      <c r="E29" s="10">
        <f>IFERROR('Data Sheet'!D58/'Data Sheet'!D$61,0)</f>
        <v>0.78200366985364478</v>
      </c>
      <c r="F29" s="10">
        <f>IFERROR('Data Sheet'!E58/'Data Sheet'!E$61,0)</f>
        <v>0.69718714360634992</v>
      </c>
      <c r="G29" s="10">
        <f>IFERROR('Data Sheet'!F58/'Data Sheet'!F$61,0)</f>
        <v>0.66206381931195768</v>
      </c>
      <c r="H29" s="10">
        <f>IFERROR('Data Sheet'!G58/'Data Sheet'!G$61,0)</f>
        <v>0.62993528426669698</v>
      </c>
      <c r="I29" s="10">
        <f>IFERROR('Data Sheet'!H58/'Data Sheet'!H$61,0)</f>
        <v>0.63039780482853724</v>
      </c>
      <c r="J29" s="10">
        <f>IFERROR('Data Sheet'!I58/'Data Sheet'!I$61,0)</f>
        <v>0.61954877914650242</v>
      </c>
      <c r="K29" s="10">
        <f>IFERROR('Data Sheet'!J58/'Data Sheet'!J$61,0)</f>
        <v>0.59498641655478446</v>
      </c>
      <c r="L29" s="10">
        <f>IFERROR('Data Sheet'!K58/'Data Sheet'!K$61,0)</f>
        <v>0.58994187683187338</v>
      </c>
    </row>
    <row r="30" spans="2:12" x14ac:dyDescent="0.3">
      <c r="B30" s="70" t="str">
        <f>'Data Sheet'!A59</f>
        <v>Borrowings</v>
      </c>
      <c r="C30" s="10">
        <f>IFERROR('Data Sheet'!B59/'Data Sheet'!B$61,0)</f>
        <v>2.8241134335942461E-3</v>
      </c>
      <c r="D30" s="10">
        <f>IFERROR('Data Sheet'!C59/'Data Sheet'!C$61,0)</f>
        <v>2.3495614786066244E-3</v>
      </c>
      <c r="E30" s="10">
        <f>IFERROR('Data Sheet'!D59/'Data Sheet'!D$61,0)</f>
        <v>5.4433235880281994E-4</v>
      </c>
      <c r="F30" s="10">
        <f>IFERROR('Data Sheet'!E59/'Data Sheet'!E$61,0)</f>
        <v>6.8044652742514172E-2</v>
      </c>
      <c r="G30" s="10">
        <f>IFERROR('Data Sheet'!F59/'Data Sheet'!F$61,0)</f>
        <v>5.9965228629454123E-2</v>
      </c>
      <c r="H30" s="10">
        <f>IFERROR('Data Sheet'!G59/'Data Sheet'!G$61,0)</f>
        <v>5.5476710851238967E-2</v>
      </c>
      <c r="I30" s="10">
        <f>IFERROR('Data Sheet'!H59/'Data Sheet'!H$61,0)</f>
        <v>5.3815300401094786E-2</v>
      </c>
      <c r="J30" s="10">
        <f>IFERROR('Data Sheet'!I59/'Data Sheet'!I$61,0)</f>
        <v>5.5137758468983722E-2</v>
      </c>
      <c r="K30" s="10">
        <f>IFERROR('Data Sheet'!J59/'Data Sheet'!J$61,0)</f>
        <v>5.9199868892964976E-2</v>
      </c>
      <c r="L30" s="10">
        <f>IFERROR('Data Sheet'!K59/'Data Sheet'!K$61,0)</f>
        <v>6.2279554223451293E-2</v>
      </c>
    </row>
    <row r="31" spans="2:12" x14ac:dyDescent="0.3">
      <c r="B31" s="70" t="str">
        <f>'Data Sheet'!A60</f>
        <v>Other Liabilities</v>
      </c>
      <c r="C31" s="10">
        <f>IFERROR('Data Sheet'!B60/'Data Sheet'!B$61,0)</f>
        <v>0.15469105762559487</v>
      </c>
      <c r="D31" s="10">
        <f>IFERROR('Data Sheet'!C60/'Data Sheet'!C$61,0)</f>
        <v>0.18787930673667788</v>
      </c>
      <c r="E31" s="10">
        <f>IFERROR('Data Sheet'!D60/'Data Sheet'!D$61,0)</f>
        <v>0.2141596649722127</v>
      </c>
      <c r="F31" s="10">
        <f>IFERROR('Data Sheet'!E60/'Data Sheet'!E$61,0)</f>
        <v>0.23164650744628601</v>
      </c>
      <c r="G31" s="10">
        <f>IFERROR('Data Sheet'!F60/'Data Sheet'!F$61,0)</f>
        <v>0.27512462305372637</v>
      </c>
      <c r="H31" s="10">
        <f>IFERROR('Data Sheet'!G60/'Data Sheet'!G$61,0)</f>
        <v>0.31199086032187562</v>
      </c>
      <c r="I31" s="10">
        <f>IFERROR('Data Sheet'!H60/'Data Sheet'!H$61,0)</f>
        <v>0.31322492807593499</v>
      </c>
      <c r="J31" s="10">
        <f>IFERROR('Data Sheet'!I60/'Data Sheet'!I$61,0)</f>
        <v>0.32282501099868016</v>
      </c>
      <c r="K31" s="10">
        <f>IFERROR('Data Sheet'!J60/'Data Sheet'!J$61,0)</f>
        <v>0.34353194788495356</v>
      </c>
      <c r="L31" s="10">
        <f>IFERROR('Data Sheet'!K60/'Data Sheet'!K$61,0)</f>
        <v>0.345780412547539</v>
      </c>
    </row>
    <row r="33" spans="2:12" x14ac:dyDescent="0.3">
      <c r="B33" s="9" t="s">
        <v>103</v>
      </c>
      <c r="C33" s="71">
        <f>IFERROR('Data Sheet'!B76/'Data Sheet'!B$76,0)</f>
        <v>1</v>
      </c>
      <c r="D33" s="71">
        <f>IFERROR('Data Sheet'!C76/'Data Sheet'!C$76,0)</f>
        <v>1</v>
      </c>
      <c r="E33" s="71">
        <f>IFERROR('Data Sheet'!D76/'Data Sheet'!D$76,0)</f>
        <v>1</v>
      </c>
      <c r="F33" s="71">
        <f>IFERROR('Data Sheet'!E76/'Data Sheet'!E$76,0)</f>
        <v>1</v>
      </c>
      <c r="G33" s="71">
        <f>IFERROR('Data Sheet'!F76/'Data Sheet'!F$76,0)</f>
        <v>1</v>
      </c>
      <c r="H33" s="71">
        <f>IFERROR('Data Sheet'!G76/'Data Sheet'!G$76,0)</f>
        <v>1</v>
      </c>
      <c r="I33" s="71">
        <f>IFERROR('Data Sheet'!H76/'Data Sheet'!H$76,0)</f>
        <v>1</v>
      </c>
      <c r="J33" s="71">
        <f>IFERROR('Data Sheet'!I76/'Data Sheet'!I$76,0)</f>
        <v>1</v>
      </c>
      <c r="K33" s="71">
        <f>IFERROR('Data Sheet'!J76/'Data Sheet'!J$76,0)</f>
        <v>1</v>
      </c>
      <c r="L33" s="71">
        <f>IFERROR('Data Sheet'!K76/'Data Sheet'!K$76,0)</f>
        <v>1</v>
      </c>
    </row>
    <row r="34" spans="2:12" x14ac:dyDescent="0.3">
      <c r="B34" s="70" t="str">
        <f>'Data Sheet'!A62</f>
        <v>Net Block</v>
      </c>
      <c r="C34" s="10">
        <f>IFERROR('Data Sheet'!B62/'Data Sheet'!B$76,0)</f>
        <v>0.1143423919947622</v>
      </c>
      <c r="D34" s="10">
        <f>IFERROR('Data Sheet'!C62/'Data Sheet'!C$76,0)</f>
        <v>0.1138919011471948</v>
      </c>
      <c r="E34" s="10">
        <f>IFERROR('Data Sheet'!D62/'Data Sheet'!D$76,0)</f>
        <v>0.1079007208013977</v>
      </c>
      <c r="F34" s="10">
        <f>IFERROR('Data Sheet'!E62/'Data Sheet'!E$76,0)</f>
        <v>0.1742156218002614</v>
      </c>
      <c r="G34" s="10">
        <f>IFERROR('Data Sheet'!F62/'Data Sheet'!F$76,0)</f>
        <v>0.16170995138162347</v>
      </c>
      <c r="H34" s="10">
        <f>IFERROR('Data Sheet'!G62/'Data Sheet'!G$76,0)</f>
        <v>0.1511311061281258</v>
      </c>
      <c r="I34" s="10">
        <f>IFERROR('Data Sheet'!H62/'Data Sheet'!H$76,0)</f>
        <v>0.14360313315926893</v>
      </c>
      <c r="J34" s="10">
        <f>IFERROR('Data Sheet'!I62/'Data Sheet'!I$76,0)</f>
        <v>0.13476132864056314</v>
      </c>
      <c r="K34" s="10">
        <f>IFERROR('Data Sheet'!J62/'Data Sheet'!J$76,0)</f>
        <v>0.14530819608065604</v>
      </c>
      <c r="L34" s="10">
        <f>IFERROR('Data Sheet'!K62/'Data Sheet'!K$76,0)</f>
        <v>0.17300612142387964</v>
      </c>
    </row>
    <row r="35" spans="2:12" x14ac:dyDescent="0.3">
      <c r="B35" s="70" t="str">
        <f>'Data Sheet'!A63</f>
        <v>Capital Work in Progress</v>
      </c>
      <c r="C35" s="10">
        <f>IFERROR('Data Sheet'!B63/'Data Sheet'!B$76,0)</f>
        <v>1.5058680972902192E-2</v>
      </c>
      <c r="D35" s="10">
        <f>IFERROR('Data Sheet'!C63/'Data Sheet'!C$76,0)</f>
        <v>1.215684036299298E-2</v>
      </c>
      <c r="E35" s="10">
        <f>IFERROR('Data Sheet'!D63/'Data Sheet'!D$76,0)</f>
        <v>8.4547106697921877E-3</v>
      </c>
      <c r="F35" s="10">
        <f>IFERROR('Data Sheet'!E63/'Data Sheet'!E$76,0)</f>
        <v>7.5420180309172793E-3</v>
      </c>
      <c r="G35" s="10">
        <f>IFERROR('Data Sheet'!F63/'Data Sheet'!F$76,0)</f>
        <v>7.1235152932488154E-3</v>
      </c>
      <c r="H35" s="10">
        <f>IFERROR('Data Sheet'!G63/'Data Sheet'!G$76,0)</f>
        <v>8.5507081831341716E-3</v>
      </c>
      <c r="I35" s="10">
        <f>IFERROR('Data Sheet'!H63/'Data Sheet'!H$76,0)</f>
        <v>8.6378877074598029E-3</v>
      </c>
      <c r="J35" s="10">
        <f>IFERROR('Data Sheet'!I63/'Data Sheet'!I$76,0)</f>
        <v>1.0751209854817421E-2</v>
      </c>
      <c r="K35" s="10">
        <f>IFERROR('Data Sheet'!J63/'Data Sheet'!J$76,0)</f>
        <v>9.74478250729598E-3</v>
      </c>
      <c r="L35" s="10">
        <f>IFERROR('Data Sheet'!K63/'Data Sheet'!K$76,0)</f>
        <v>1.4710184525879437E-2</v>
      </c>
    </row>
    <row r="36" spans="2:12" x14ac:dyDescent="0.3">
      <c r="B36" s="70" t="str">
        <f>'Data Sheet'!A64</f>
        <v>Investments</v>
      </c>
      <c r="C36" s="10">
        <f>IFERROR('Data Sheet'!B64/'Data Sheet'!B$76,0)</f>
        <v>0.41022934928126803</v>
      </c>
      <c r="D36" s="10">
        <f>IFERROR('Data Sheet'!C64/'Data Sheet'!C$76,0)</f>
        <v>0.34252230656545479</v>
      </c>
      <c r="E36" s="10">
        <f>IFERROR('Data Sheet'!D64/'Data Sheet'!D$76,0)</f>
        <v>0.25750432393043082</v>
      </c>
      <c r="F36" s="10">
        <f>IFERROR('Data Sheet'!E64/'Data Sheet'!E$76,0)</f>
        <v>0.2194011338000616</v>
      </c>
      <c r="G36" s="10">
        <f>IFERROR('Data Sheet'!F64/'Data Sheet'!F$76,0)</f>
        <v>0.2259600590805588</v>
      </c>
      <c r="H36" s="10">
        <f>IFERROR('Data Sheet'!G64/'Data Sheet'!G$76,0)</f>
        <v>0.2163222729982118</v>
      </c>
      <c r="I36" s="10">
        <f>IFERROR('Data Sheet'!H64/'Data Sheet'!H$76,0)</f>
        <v>0.26013761821096326</v>
      </c>
      <c r="J36" s="10">
        <f>IFERROR('Data Sheet'!I64/'Data Sheet'!I$76,0)</f>
        <v>0.2183375494940607</v>
      </c>
      <c r="K36" s="10">
        <f>IFERROR('Data Sheet'!J64/'Data Sheet'!J$76,0)</f>
        <v>0.19517299195078444</v>
      </c>
      <c r="L36" s="10">
        <f>IFERROR('Data Sheet'!K64/'Data Sheet'!K$76,0)</f>
        <v>0.18760591056870179</v>
      </c>
    </row>
    <row r="37" spans="2:12" x14ac:dyDescent="0.3">
      <c r="B37" s="70" t="str">
        <f>'Data Sheet'!A65</f>
        <v>Other Assets</v>
      </c>
      <c r="C37" s="10">
        <f>IFERROR('Data Sheet'!B65/'Data Sheet'!B$76,0)</f>
        <v>0.46036957775106757</v>
      </c>
      <c r="D37" s="10">
        <f>IFERROR('Data Sheet'!C65/'Data Sheet'!C$76,0)</f>
        <v>0.53142895192435746</v>
      </c>
      <c r="E37" s="10">
        <f>IFERROR('Data Sheet'!D65/'Data Sheet'!D$76,0)</f>
        <v>0.62614024459837925</v>
      </c>
      <c r="F37" s="10">
        <f>IFERROR('Data Sheet'!E65/'Data Sheet'!E$76,0)</f>
        <v>0.59884122636875969</v>
      </c>
      <c r="G37" s="10">
        <f>IFERROR('Data Sheet'!F65/'Data Sheet'!F$76,0)</f>
        <v>0.60520647424456886</v>
      </c>
      <c r="H37" s="10">
        <f>IFERROR('Data Sheet'!G65/'Data Sheet'!G$76,0)</f>
        <v>0.62399591269052823</v>
      </c>
      <c r="I37" s="10">
        <f>IFERROR('Data Sheet'!H65/'Data Sheet'!H$76,0)</f>
        <v>0.58762136092230799</v>
      </c>
      <c r="J37" s="10">
        <f>IFERROR('Data Sheet'!I65/'Data Sheet'!I$76,0)</f>
        <v>0.6361499120105587</v>
      </c>
      <c r="K37" s="10">
        <f>IFERROR('Data Sheet'!J65/'Data Sheet'!J$76,0)</f>
        <v>0.6497740294612635</v>
      </c>
      <c r="L37" s="10">
        <f>IFERROR('Data Sheet'!K65/'Data Sheet'!K$76,0)</f>
        <v>0.62467778348153913</v>
      </c>
    </row>
    <row r="38" spans="2:12" x14ac:dyDescent="0.3">
      <c r="B38" s="70" t="str">
        <f>'Data Sheet'!A67</f>
        <v>Receivables</v>
      </c>
      <c r="C38" s="10">
        <f>IFERROR('Data Sheet'!B67/'Data Sheet'!B$76,0)</f>
        <v>0.22101374923045353</v>
      </c>
      <c r="D38" s="10">
        <f>IFERROR('Data Sheet'!C67/'Data Sheet'!C$76,0)</f>
        <v>0.23726765976066816</v>
      </c>
      <c r="E38" s="10">
        <f>IFERROR('Data Sheet'!D67/'Data Sheet'!D$76,0)</f>
        <v>0.24008568844874056</v>
      </c>
      <c r="F38" s="10">
        <f>IFERROR('Data Sheet'!E67/'Data Sheet'!E$76,0)</f>
        <v>0.25416434273726973</v>
      </c>
      <c r="G38" s="10">
        <f>IFERROR('Data Sheet'!F67/'Data Sheet'!F$76,0)</f>
        <v>0.23139116253307895</v>
      </c>
      <c r="H38" s="10">
        <f>IFERROR('Data Sheet'!G67/'Data Sheet'!G$76,0)</f>
        <v>0.29668473787289601</v>
      </c>
      <c r="I38" s="10">
        <f>IFERROR('Data Sheet'!H67/'Data Sheet'!H$76,0)</f>
        <v>0.34967345424509483</v>
      </c>
      <c r="J38" s="10">
        <f>IFERROR('Data Sheet'!I67/'Data Sheet'!I$76,0)</f>
        <v>0.36829767927848656</v>
      </c>
      <c r="K38" s="10">
        <f>IFERROR('Data Sheet'!J67/'Data Sheet'!J$76,0)</f>
        <v>0.37218009568292265</v>
      </c>
      <c r="L38" s="10">
        <f>IFERROR('Data Sheet'!K67/'Data Sheet'!K$76,0)</f>
        <v>0.37376564164555354</v>
      </c>
    </row>
    <row r="39" spans="2:12" x14ac:dyDescent="0.3">
      <c r="B39" s="70" t="str">
        <f>'Data Sheet'!A68</f>
        <v>Inventory</v>
      </c>
      <c r="C39" s="10">
        <f>IFERROR('Data Sheet'!B68/'Data Sheet'!B$76,0)</f>
        <v>2.0521239482864764E-4</v>
      </c>
      <c r="D39" s="10">
        <f>IFERROR('Data Sheet'!C68/'Data Sheet'!C$76,0)</f>
        <v>2.4732226090596048E-4</v>
      </c>
      <c r="E39" s="10">
        <f>IFERROR('Data Sheet'!D68/'Data Sheet'!D$76,0)</f>
        <v>8.7795541742390323E-5</v>
      </c>
      <c r="F39" s="10">
        <f>IFERROR('Data Sheet'!E68/'Data Sheet'!E$76,0)</f>
        <v>4.1622616064664895E-5</v>
      </c>
      <c r="G39" s="10">
        <f>IFERROR('Data Sheet'!F68/'Data Sheet'!F$76,0)</f>
        <v>6.154224875376947E-5</v>
      </c>
      <c r="H39" s="10">
        <f>IFERROR('Data Sheet'!G68/'Data Sheet'!G$76,0)</f>
        <v>1.4192046776986177E-4</v>
      </c>
      <c r="I39" s="10">
        <f>IFERROR('Data Sheet'!H68/'Data Sheet'!H$76,0)</f>
        <v>1.9599745203312358E-4</v>
      </c>
      <c r="J39" s="10">
        <f>IFERROR('Data Sheet'!I68/'Data Sheet'!I$76,0)</f>
        <v>1.9247690277166739E-4</v>
      </c>
      <c r="K39" s="10">
        <f>IFERROR('Data Sheet'!J68/'Data Sheet'!J$76,0)</f>
        <v>1.323676795945767E-4</v>
      </c>
      <c r="L39" s="10">
        <f>IFERROR('Data Sheet'!K68/'Data Sheet'!K$76,0)</f>
        <v>1.6007330253302201E-4</v>
      </c>
    </row>
    <row r="40" spans="2:12" x14ac:dyDescent="0.3">
      <c r="B40" s="70" t="str">
        <f>'Data Sheet'!A69</f>
        <v>Cash &amp; Bank</v>
      </c>
      <c r="C40" s="10">
        <f>IFERROR('Data Sheet'!B69/'Data Sheet'!B$76,0)</f>
        <v>4.054410600685996E-2</v>
      </c>
      <c r="D40" s="10">
        <f>IFERROR('Data Sheet'!C69/'Data Sheet'!C$76,0)</f>
        <v>6.811825809029165E-2</v>
      </c>
      <c r="E40" s="10">
        <f>IFERROR('Data Sheet'!D69/'Data Sheet'!D$76,0)</f>
        <v>0.11279971203062308</v>
      </c>
      <c r="F40" s="10">
        <f>IFERROR('Data Sheet'!E69/'Data Sheet'!E$76,0)</f>
        <v>8.0464841376210183E-2</v>
      </c>
      <c r="G40" s="10">
        <f>IFERROR('Data Sheet'!F69/'Data Sheet'!F$76,0)</f>
        <v>7.176595482798942E-2</v>
      </c>
      <c r="H40" s="10">
        <f>IFERROR('Data Sheet'!G69/'Data Sheet'!G$76,0)</f>
        <v>0.12929664216173256</v>
      </c>
      <c r="I40" s="10">
        <f>IFERROR('Data Sheet'!H69/'Data Sheet'!H$76,0)</f>
        <v>7.7222996101050684E-2</v>
      </c>
      <c r="J40" s="10">
        <f>IFERROR('Data Sheet'!I69/'Data Sheet'!I$76,0)</f>
        <v>9.1330290365156178E-2</v>
      </c>
      <c r="K40" s="10">
        <f>IFERROR('Data Sheet'!J69/'Data Sheet'!J$76,0)</f>
        <v>9.7466734741473313E-2</v>
      </c>
      <c r="L40" s="10">
        <f>IFERROR('Data Sheet'!K69/'Data Sheet'!K$76,0)</f>
        <v>7.1249178934353383E-2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382C-4CD8-4A34-BF42-7A3834966A2F}">
  <sheetPr>
    <tabColor rgb="FF0070C0"/>
  </sheetPr>
  <dimension ref="A1"/>
  <sheetViews>
    <sheetView workbookViewId="0">
      <selection activeCell="E20" sqref="E20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="97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A2" sqref="A2"/>
    </sheetView>
  </sheetViews>
  <sheetFormatPr defaultColWidth="8.77734375" defaultRowHeight="14.4" x14ac:dyDescent="0.3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 x14ac:dyDescent="0.3">
      <c r="A1" s="1" t="s">
        <v>0</v>
      </c>
      <c r="B1" s="1" t="s">
        <v>32</v>
      </c>
      <c r="E1" s="76" t="str">
        <f>IF(B2&lt;&gt;B3, "A NEW VERSION OF THE WORKSHEET IS AVAILABLE", "")</f>
        <v/>
      </c>
      <c r="F1" s="76"/>
      <c r="G1" s="76"/>
      <c r="H1" s="76"/>
      <c r="I1" s="76"/>
      <c r="J1" s="76"/>
      <c r="K1" s="76"/>
    </row>
    <row r="2" spans="1:11" x14ac:dyDescent="0.3">
      <c r="A2" s="1" t="s">
        <v>30</v>
      </c>
      <c r="B2" s="2">
        <v>2.1</v>
      </c>
      <c r="E2" s="77" t="s">
        <v>21</v>
      </c>
      <c r="F2" s="77"/>
      <c r="G2" s="77"/>
      <c r="H2" s="77"/>
      <c r="I2" s="77"/>
      <c r="J2" s="77"/>
      <c r="K2" s="77"/>
    </row>
    <row r="3" spans="1:11" x14ac:dyDescent="0.3">
      <c r="A3" s="1" t="s">
        <v>31</v>
      </c>
      <c r="B3" s="2">
        <v>2.1</v>
      </c>
    </row>
    <row r="4" spans="1:11" x14ac:dyDescent="0.3">
      <c r="A4" s="1"/>
    </row>
    <row r="5" spans="1:11" x14ac:dyDescent="0.3">
      <c r="A5" s="1" t="s">
        <v>33</v>
      </c>
    </row>
    <row r="6" spans="1:11" x14ac:dyDescent="0.3">
      <c r="A6" s="2" t="s">
        <v>27</v>
      </c>
      <c r="B6" s="2">
        <f>IF(B9&gt;0, B9/B8, 0)</f>
        <v>361.80875072632193</v>
      </c>
    </row>
    <row r="7" spans="1:11" x14ac:dyDescent="0.3">
      <c r="A7" s="2" t="s">
        <v>16</v>
      </c>
      <c r="B7">
        <v>1</v>
      </c>
    </row>
    <row r="8" spans="1:11" x14ac:dyDescent="0.3">
      <c r="A8" s="2" t="s">
        <v>28</v>
      </c>
      <c r="B8">
        <v>2581.5</v>
      </c>
    </row>
    <row r="9" spans="1:11" x14ac:dyDescent="0.3">
      <c r="A9" s="2" t="s">
        <v>43</v>
      </c>
      <c r="B9">
        <v>934009.29</v>
      </c>
    </row>
    <row r="15" spans="1:11" x14ac:dyDescent="0.3">
      <c r="A15" s="1" t="s">
        <v>22</v>
      </c>
    </row>
    <row r="16" spans="1:11" s="6" customFormat="1" x14ac:dyDescent="0.3">
      <c r="A16" s="5" t="s">
        <v>23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3" customFormat="1" x14ac:dyDescent="0.3">
      <c r="A17" s="3" t="s">
        <v>1</v>
      </c>
      <c r="B17">
        <v>117966</v>
      </c>
      <c r="C17">
        <v>123104</v>
      </c>
      <c r="D17">
        <v>146463</v>
      </c>
      <c r="E17">
        <v>156949</v>
      </c>
      <c r="F17">
        <v>164177</v>
      </c>
      <c r="G17">
        <v>191754</v>
      </c>
      <c r="H17">
        <v>225458</v>
      </c>
      <c r="I17">
        <v>240893</v>
      </c>
      <c r="J17">
        <v>255324</v>
      </c>
      <c r="K17">
        <v>267021</v>
      </c>
    </row>
    <row r="18" spans="1:11" s="3" customFormat="1" x14ac:dyDescent="0.3">
      <c r="A18" s="2" t="s">
        <v>44</v>
      </c>
      <c r="B18">
        <v>94</v>
      </c>
      <c r="C18">
        <v>86</v>
      </c>
      <c r="D18">
        <v>40</v>
      </c>
      <c r="E18">
        <v>18</v>
      </c>
      <c r="F18">
        <v>14</v>
      </c>
      <c r="G18">
        <v>29</v>
      </c>
      <c r="H18">
        <v>37</v>
      </c>
      <c r="I18">
        <v>42</v>
      </c>
      <c r="J18">
        <v>49</v>
      </c>
      <c r="K18">
        <v>43</v>
      </c>
    </row>
    <row r="19" spans="1:11" s="3" customFormat="1" x14ac:dyDescent="0.3">
      <c r="A19" s="2" t="s">
        <v>45</v>
      </c>
      <c r="B19">
        <v>1</v>
      </c>
      <c r="C19"/>
      <c r="D19"/>
      <c r="E19"/>
      <c r="F19"/>
      <c r="G19"/>
      <c r="H19"/>
      <c r="I19"/>
      <c r="J19"/>
      <c r="K19"/>
    </row>
    <row r="20" spans="1:11" s="3" customFormat="1" x14ac:dyDescent="0.3">
      <c r="A20" s="2" t="s">
        <v>46</v>
      </c>
      <c r="B20"/>
      <c r="C20"/>
      <c r="D20"/>
      <c r="E20"/>
      <c r="F20"/>
      <c r="G20"/>
      <c r="H20"/>
      <c r="I20"/>
      <c r="J20"/>
      <c r="K20"/>
    </row>
    <row r="21" spans="1:11" s="3" customFormat="1" x14ac:dyDescent="0.3">
      <c r="A21" s="2" t="s">
        <v>47</v>
      </c>
      <c r="B21">
        <v>2715</v>
      </c>
      <c r="C21">
        <v>2614</v>
      </c>
      <c r="D21">
        <v>2230</v>
      </c>
      <c r="E21">
        <v>1887</v>
      </c>
      <c r="F21">
        <v>1448</v>
      </c>
      <c r="G21">
        <v>1134</v>
      </c>
      <c r="H21">
        <v>1844</v>
      </c>
      <c r="I21">
        <v>3660</v>
      </c>
      <c r="J21">
        <v>11599</v>
      </c>
      <c r="K21">
        <v>4356</v>
      </c>
    </row>
    <row r="22" spans="1:11" s="3" customFormat="1" x14ac:dyDescent="0.3">
      <c r="A22" s="2" t="s">
        <v>48</v>
      </c>
      <c r="B22">
        <v>61621</v>
      </c>
      <c r="C22">
        <v>66396</v>
      </c>
      <c r="D22">
        <v>78246</v>
      </c>
      <c r="E22">
        <v>85952</v>
      </c>
      <c r="F22">
        <v>91814</v>
      </c>
      <c r="G22">
        <v>107554</v>
      </c>
      <c r="H22">
        <v>127522</v>
      </c>
      <c r="I22">
        <v>140131</v>
      </c>
      <c r="J22">
        <v>145788</v>
      </c>
      <c r="K22">
        <v>154994</v>
      </c>
    </row>
    <row r="23" spans="1:11" s="3" customFormat="1" x14ac:dyDescent="0.3">
      <c r="A23" s="2" t="s">
        <v>49</v>
      </c>
      <c r="B23">
        <v>16392</v>
      </c>
      <c r="C23">
        <v>16808</v>
      </c>
      <c r="D23">
        <v>20387</v>
      </c>
      <c r="E23">
        <v>20527</v>
      </c>
      <c r="F23">
        <v>18322</v>
      </c>
      <c r="G23">
        <v>23187</v>
      </c>
      <c r="H23">
        <v>28913</v>
      </c>
      <c r="I23">
        <v>24151</v>
      </c>
      <c r="J23">
        <v>20729</v>
      </c>
      <c r="K23">
        <v>24434</v>
      </c>
    </row>
    <row r="24" spans="1:11" s="3" customFormat="1" x14ac:dyDescent="0.3">
      <c r="A24" s="2" t="s">
        <v>50</v>
      </c>
      <c r="B24">
        <v>4834</v>
      </c>
      <c r="C24">
        <v>4684</v>
      </c>
      <c r="D24">
        <v>6054</v>
      </c>
      <c r="E24">
        <v>6456</v>
      </c>
      <c r="F24">
        <v>6033</v>
      </c>
      <c r="G24">
        <v>6793</v>
      </c>
      <c r="H24">
        <v>7883</v>
      </c>
      <c r="I24">
        <v>8613</v>
      </c>
      <c r="J24">
        <v>9752</v>
      </c>
      <c r="K24">
        <v>10796</v>
      </c>
    </row>
    <row r="25" spans="1:11" s="3" customFormat="1" x14ac:dyDescent="0.3">
      <c r="A25" s="3" t="s">
        <v>4</v>
      </c>
      <c r="B25">
        <v>4221</v>
      </c>
      <c r="C25">
        <v>3642</v>
      </c>
      <c r="D25">
        <v>4311</v>
      </c>
      <c r="E25">
        <v>4592</v>
      </c>
      <c r="F25">
        <v>1916</v>
      </c>
      <c r="G25">
        <v>4018</v>
      </c>
      <c r="H25">
        <v>3449</v>
      </c>
      <c r="I25">
        <v>3464</v>
      </c>
      <c r="J25">
        <v>3962</v>
      </c>
      <c r="K25">
        <v>-124</v>
      </c>
    </row>
    <row r="26" spans="1:11" s="3" customFormat="1" x14ac:dyDescent="0.3">
      <c r="A26" s="3" t="s">
        <v>5</v>
      </c>
      <c r="B26">
        <v>1987</v>
      </c>
      <c r="C26">
        <v>2014</v>
      </c>
      <c r="D26">
        <v>2056</v>
      </c>
      <c r="E26">
        <v>3529</v>
      </c>
      <c r="F26">
        <v>4065</v>
      </c>
      <c r="G26">
        <v>4604</v>
      </c>
      <c r="H26">
        <v>5022</v>
      </c>
      <c r="I26">
        <v>4985</v>
      </c>
      <c r="J26">
        <v>5242</v>
      </c>
      <c r="K26">
        <v>5560</v>
      </c>
    </row>
    <row r="27" spans="1:11" s="3" customFormat="1" x14ac:dyDescent="0.3">
      <c r="A27" s="3" t="s">
        <v>6</v>
      </c>
      <c r="B27">
        <v>32</v>
      </c>
      <c r="C27">
        <v>52</v>
      </c>
      <c r="D27">
        <v>198</v>
      </c>
      <c r="E27">
        <v>924</v>
      </c>
      <c r="F27">
        <v>637</v>
      </c>
      <c r="G27">
        <v>784</v>
      </c>
      <c r="H27">
        <v>779</v>
      </c>
      <c r="I27">
        <v>778</v>
      </c>
      <c r="J27">
        <v>796</v>
      </c>
      <c r="K27">
        <v>1227</v>
      </c>
    </row>
    <row r="28" spans="1:11" s="3" customFormat="1" x14ac:dyDescent="0.3">
      <c r="A28" s="3" t="s">
        <v>7</v>
      </c>
      <c r="B28">
        <v>34513</v>
      </c>
      <c r="C28">
        <v>34092</v>
      </c>
      <c r="D28">
        <v>41563</v>
      </c>
      <c r="E28">
        <v>42248</v>
      </c>
      <c r="F28">
        <v>43760</v>
      </c>
      <c r="G28">
        <v>51687</v>
      </c>
      <c r="H28">
        <v>56907</v>
      </c>
      <c r="I28">
        <v>61997</v>
      </c>
      <c r="J28">
        <v>65331</v>
      </c>
      <c r="K28">
        <v>65487</v>
      </c>
    </row>
    <row r="29" spans="1:11" s="3" customFormat="1" x14ac:dyDescent="0.3">
      <c r="A29" s="3" t="s">
        <v>8</v>
      </c>
      <c r="B29">
        <v>8156</v>
      </c>
      <c r="C29">
        <v>8212</v>
      </c>
      <c r="D29">
        <v>10001</v>
      </c>
      <c r="E29">
        <v>9801</v>
      </c>
      <c r="F29">
        <v>11198</v>
      </c>
      <c r="G29">
        <v>13238</v>
      </c>
      <c r="H29">
        <v>14604</v>
      </c>
      <c r="I29">
        <v>15898</v>
      </c>
      <c r="J29">
        <v>16534</v>
      </c>
      <c r="K29">
        <v>16033</v>
      </c>
    </row>
    <row r="30" spans="1:11" s="3" customFormat="1" x14ac:dyDescent="0.3">
      <c r="A30" s="3" t="s">
        <v>9</v>
      </c>
      <c r="B30">
        <v>26289</v>
      </c>
      <c r="C30">
        <v>25826</v>
      </c>
      <c r="D30">
        <v>31472</v>
      </c>
      <c r="E30">
        <v>32340</v>
      </c>
      <c r="F30">
        <v>32430</v>
      </c>
      <c r="G30">
        <v>38327</v>
      </c>
      <c r="H30">
        <v>42147</v>
      </c>
      <c r="I30">
        <v>45908</v>
      </c>
      <c r="J30">
        <v>48553</v>
      </c>
      <c r="K30">
        <v>49210</v>
      </c>
    </row>
    <row r="31" spans="1:11" s="3" customFormat="1" x14ac:dyDescent="0.3">
      <c r="A31" s="3" t="s">
        <v>34</v>
      </c>
      <c r="B31">
        <v>9259</v>
      </c>
      <c r="C31">
        <v>9550</v>
      </c>
      <c r="D31">
        <v>11250</v>
      </c>
      <c r="E31">
        <v>27375</v>
      </c>
      <c r="F31">
        <v>14060</v>
      </c>
      <c r="G31">
        <v>15738</v>
      </c>
      <c r="H31">
        <v>42090</v>
      </c>
      <c r="I31">
        <v>26426</v>
      </c>
      <c r="J31">
        <v>45612</v>
      </c>
      <c r="K31">
        <v>39820</v>
      </c>
    </row>
    <row r="32" spans="1:11" s="3" customFormat="1" x14ac:dyDescent="0.3"/>
    <row r="33" spans="1:11" x14ac:dyDescent="0.3">
      <c r="A33" s="3" t="s">
        <v>57</v>
      </c>
      <c r="B33" s="2">
        <f>B30+B29+B27+B26</f>
        <v>36464</v>
      </c>
      <c r="C33" s="2">
        <f t="shared" ref="C33:K33" si="0">C30+C29+C27+C26</f>
        <v>36104</v>
      </c>
      <c r="D33" s="2">
        <f t="shared" si="0"/>
        <v>43727</v>
      </c>
      <c r="E33" s="2">
        <f t="shared" si="0"/>
        <v>46594</v>
      </c>
      <c r="F33" s="2">
        <f t="shared" si="0"/>
        <v>48330</v>
      </c>
      <c r="G33" s="2">
        <f t="shared" si="0"/>
        <v>56953</v>
      </c>
      <c r="H33" s="2">
        <f t="shared" si="0"/>
        <v>62552</v>
      </c>
      <c r="I33" s="2">
        <f t="shared" si="0"/>
        <v>67569</v>
      </c>
      <c r="J33" s="2">
        <f t="shared" si="0"/>
        <v>71125</v>
      </c>
      <c r="K33" s="2">
        <f t="shared" si="0"/>
        <v>72030</v>
      </c>
    </row>
    <row r="34" spans="1:11" x14ac:dyDescent="0.3">
      <c r="A34" s="3"/>
    </row>
    <row r="35" spans="1:11" x14ac:dyDescent="0.3">
      <c r="A35" s="3"/>
    </row>
    <row r="36" spans="1:11" x14ac:dyDescent="0.3">
      <c r="A36" s="3"/>
    </row>
    <row r="37" spans="1:11" x14ac:dyDescent="0.3">
      <c r="A37" s="3"/>
    </row>
    <row r="38" spans="1:11" x14ac:dyDescent="0.3">
      <c r="A38" s="3"/>
    </row>
    <row r="39" spans="1:11" x14ac:dyDescent="0.3">
      <c r="A39" s="3"/>
    </row>
    <row r="40" spans="1:11" x14ac:dyDescent="0.3">
      <c r="A40" s="1" t="s">
        <v>24</v>
      </c>
    </row>
    <row r="41" spans="1:11" s="6" customFormat="1" x14ac:dyDescent="0.3">
      <c r="A41" s="5" t="s">
        <v>23</v>
      </c>
      <c r="B41" s="4">
        <v>45291</v>
      </c>
      <c r="C41" s="4">
        <v>45382</v>
      </c>
      <c r="D41" s="4">
        <v>45473</v>
      </c>
      <c r="E41" s="4">
        <v>45565</v>
      </c>
      <c r="F41" s="4">
        <v>45657</v>
      </c>
      <c r="G41" s="4">
        <v>45747</v>
      </c>
      <c r="H41" s="4">
        <v>45838</v>
      </c>
      <c r="I41" s="4">
        <v>45930</v>
      </c>
      <c r="J41" s="4">
        <v>46022</v>
      </c>
      <c r="K41" s="4">
        <v>46112</v>
      </c>
    </row>
    <row r="42" spans="1:11" s="3" customFormat="1" x14ac:dyDescent="0.3">
      <c r="A42" s="3" t="s">
        <v>1</v>
      </c>
      <c r="B42">
        <v>60583</v>
      </c>
      <c r="C42">
        <v>61237</v>
      </c>
      <c r="D42">
        <v>62613</v>
      </c>
      <c r="E42">
        <v>64259</v>
      </c>
      <c r="F42">
        <v>63973</v>
      </c>
      <c r="G42">
        <v>64479</v>
      </c>
      <c r="H42">
        <v>63437</v>
      </c>
      <c r="I42">
        <v>65799</v>
      </c>
      <c r="J42">
        <v>67087</v>
      </c>
      <c r="K42">
        <v>70698</v>
      </c>
    </row>
    <row r="43" spans="1:11" s="3" customFormat="1" x14ac:dyDescent="0.3">
      <c r="A43" s="3" t="s">
        <v>2</v>
      </c>
      <c r="B43">
        <v>44195</v>
      </c>
      <c r="C43">
        <v>44073</v>
      </c>
      <c r="D43">
        <v>45951</v>
      </c>
      <c r="E43">
        <v>47528</v>
      </c>
      <c r="F43">
        <v>46939</v>
      </c>
      <c r="G43">
        <v>47499</v>
      </c>
      <c r="H43">
        <v>46562</v>
      </c>
      <c r="I43">
        <v>47821</v>
      </c>
      <c r="J43">
        <v>48818</v>
      </c>
      <c r="K43">
        <v>51422</v>
      </c>
    </row>
    <row r="44" spans="1:11" s="3" customFormat="1" x14ac:dyDescent="0.3">
      <c r="A44" s="3" t="s">
        <v>4</v>
      </c>
      <c r="B44">
        <v>-96</v>
      </c>
      <c r="C44">
        <v>1157</v>
      </c>
      <c r="D44">
        <v>962</v>
      </c>
      <c r="E44">
        <v>729</v>
      </c>
      <c r="F44">
        <v>1243</v>
      </c>
      <c r="G44">
        <v>1028</v>
      </c>
      <c r="H44">
        <v>1660</v>
      </c>
      <c r="I44">
        <v>-268</v>
      </c>
      <c r="J44">
        <v>-2273</v>
      </c>
      <c r="K44">
        <v>757</v>
      </c>
    </row>
    <row r="45" spans="1:11" s="3" customFormat="1" x14ac:dyDescent="0.3">
      <c r="A45" s="3" t="s">
        <v>5</v>
      </c>
      <c r="B45">
        <v>1233</v>
      </c>
      <c r="C45">
        <v>1246</v>
      </c>
      <c r="D45">
        <v>1220</v>
      </c>
      <c r="E45">
        <v>1266</v>
      </c>
      <c r="F45">
        <v>1377</v>
      </c>
      <c r="G45">
        <v>1379</v>
      </c>
      <c r="H45">
        <v>1361</v>
      </c>
      <c r="I45">
        <v>1413</v>
      </c>
      <c r="J45">
        <v>1380</v>
      </c>
      <c r="K45">
        <v>1406</v>
      </c>
    </row>
    <row r="46" spans="1:11" s="3" customFormat="1" x14ac:dyDescent="0.3">
      <c r="A46" s="3" t="s">
        <v>6</v>
      </c>
      <c r="B46">
        <v>230</v>
      </c>
      <c r="C46">
        <v>226</v>
      </c>
      <c r="D46">
        <v>173</v>
      </c>
      <c r="E46">
        <v>162</v>
      </c>
      <c r="F46">
        <v>234</v>
      </c>
      <c r="G46">
        <v>227</v>
      </c>
      <c r="H46">
        <v>195</v>
      </c>
      <c r="I46">
        <v>229</v>
      </c>
      <c r="J46">
        <v>538</v>
      </c>
      <c r="K46">
        <v>265</v>
      </c>
    </row>
    <row r="47" spans="1:11" s="3" customFormat="1" x14ac:dyDescent="0.3">
      <c r="A47" s="3" t="s">
        <v>7</v>
      </c>
      <c r="B47">
        <v>14829</v>
      </c>
      <c r="C47">
        <v>16849</v>
      </c>
      <c r="D47">
        <v>16231</v>
      </c>
      <c r="E47">
        <v>16032</v>
      </c>
      <c r="F47">
        <v>16666</v>
      </c>
      <c r="G47">
        <v>16402</v>
      </c>
      <c r="H47">
        <v>16979</v>
      </c>
      <c r="I47">
        <v>16068</v>
      </c>
      <c r="J47">
        <v>14078</v>
      </c>
      <c r="K47">
        <v>18362</v>
      </c>
    </row>
    <row r="48" spans="1:11" s="3" customFormat="1" x14ac:dyDescent="0.3">
      <c r="A48" s="3" t="s">
        <v>8</v>
      </c>
      <c r="B48">
        <v>3732</v>
      </c>
      <c r="C48">
        <v>4347</v>
      </c>
      <c r="D48">
        <v>4126</v>
      </c>
      <c r="E48">
        <v>4077</v>
      </c>
      <c r="F48">
        <v>4222</v>
      </c>
      <c r="G48">
        <v>4109</v>
      </c>
      <c r="H48">
        <v>4160</v>
      </c>
      <c r="I48">
        <v>3937</v>
      </c>
      <c r="J48">
        <v>3358</v>
      </c>
      <c r="K48">
        <v>4578</v>
      </c>
    </row>
    <row r="49" spans="1:11" s="3" customFormat="1" x14ac:dyDescent="0.3">
      <c r="A49" s="3" t="s">
        <v>9</v>
      </c>
      <c r="B49">
        <v>11058</v>
      </c>
      <c r="C49">
        <v>12434</v>
      </c>
      <c r="D49">
        <v>12040</v>
      </c>
      <c r="E49">
        <v>11909</v>
      </c>
      <c r="F49">
        <v>12380</v>
      </c>
      <c r="G49">
        <v>12224</v>
      </c>
      <c r="H49">
        <v>12760</v>
      </c>
      <c r="I49">
        <v>12075</v>
      </c>
      <c r="J49">
        <v>10657</v>
      </c>
      <c r="K49">
        <v>13718</v>
      </c>
    </row>
    <row r="50" spans="1:11" x14ac:dyDescent="0.3">
      <c r="A50" s="3" t="s">
        <v>3</v>
      </c>
      <c r="B50">
        <v>16388</v>
      </c>
      <c r="C50">
        <v>17164</v>
      </c>
      <c r="D50">
        <v>16662</v>
      </c>
      <c r="E50">
        <v>16731</v>
      </c>
      <c r="F50">
        <v>17034</v>
      </c>
      <c r="G50">
        <v>16980</v>
      </c>
      <c r="H50">
        <v>16875</v>
      </c>
      <c r="I50">
        <v>17978</v>
      </c>
      <c r="J50">
        <v>18269</v>
      </c>
      <c r="K50">
        <v>19276</v>
      </c>
    </row>
    <row r="51" spans="1:11" x14ac:dyDescent="0.3">
      <c r="A51" s="3" t="s">
        <v>57</v>
      </c>
      <c r="B51" s="2">
        <f>B49+B48+B46+B45</f>
        <v>16253</v>
      </c>
      <c r="C51" s="2">
        <f t="shared" ref="C51:K51" si="1">C49+C48+C46+C45</f>
        <v>18253</v>
      </c>
      <c r="D51" s="2">
        <f t="shared" si="1"/>
        <v>17559</v>
      </c>
      <c r="E51" s="2">
        <f t="shared" si="1"/>
        <v>17414</v>
      </c>
      <c r="F51" s="2">
        <f t="shared" si="1"/>
        <v>18213</v>
      </c>
      <c r="G51" s="2">
        <f t="shared" si="1"/>
        <v>17939</v>
      </c>
      <c r="H51" s="2">
        <f t="shared" si="1"/>
        <v>18476</v>
      </c>
      <c r="I51" s="2">
        <f t="shared" si="1"/>
        <v>17654</v>
      </c>
      <c r="J51" s="2">
        <f t="shared" si="1"/>
        <v>15933</v>
      </c>
      <c r="K51" s="2">
        <f t="shared" si="1"/>
        <v>19967</v>
      </c>
    </row>
    <row r="52" spans="1:11" x14ac:dyDescent="0.3">
      <c r="A52" s="3"/>
    </row>
    <row r="53" spans="1:11" x14ac:dyDescent="0.3">
      <c r="A53" s="3"/>
    </row>
    <row r="54" spans="1:11" x14ac:dyDescent="0.3">
      <c r="A54" s="3"/>
    </row>
    <row r="55" spans="1:11" x14ac:dyDescent="0.3">
      <c r="A55" s="1" t="s">
        <v>25</v>
      </c>
    </row>
    <row r="56" spans="1:11" s="6" customFormat="1" x14ac:dyDescent="0.3">
      <c r="A56" s="5" t="s">
        <v>23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3">
      <c r="A57" s="3" t="s">
        <v>10</v>
      </c>
      <c r="B57">
        <v>197</v>
      </c>
      <c r="C57">
        <v>191</v>
      </c>
      <c r="D57">
        <v>375</v>
      </c>
      <c r="E57">
        <v>375</v>
      </c>
      <c r="F57">
        <v>370</v>
      </c>
      <c r="G57">
        <v>366</v>
      </c>
      <c r="H57">
        <v>366</v>
      </c>
      <c r="I57">
        <v>362</v>
      </c>
      <c r="J57">
        <v>362</v>
      </c>
      <c r="K57">
        <v>362</v>
      </c>
    </row>
    <row r="58" spans="1:11" x14ac:dyDescent="0.3">
      <c r="A58" s="3" t="s">
        <v>11</v>
      </c>
      <c r="B58">
        <v>86017</v>
      </c>
      <c r="C58">
        <v>84937</v>
      </c>
      <c r="D58">
        <v>89071</v>
      </c>
      <c r="E58">
        <v>83751</v>
      </c>
      <c r="F58">
        <v>86063</v>
      </c>
      <c r="G58">
        <v>88773</v>
      </c>
      <c r="H58">
        <v>90058</v>
      </c>
      <c r="I58">
        <v>90127</v>
      </c>
      <c r="J58">
        <v>94394</v>
      </c>
      <c r="K58">
        <v>106878</v>
      </c>
    </row>
    <row r="59" spans="1:11" x14ac:dyDescent="0.3">
      <c r="A59" s="3" t="s">
        <v>35</v>
      </c>
      <c r="B59">
        <v>289</v>
      </c>
      <c r="C59">
        <v>247</v>
      </c>
      <c r="D59">
        <v>62</v>
      </c>
      <c r="E59">
        <v>8174</v>
      </c>
      <c r="F59">
        <v>7795</v>
      </c>
      <c r="G59">
        <v>7818</v>
      </c>
      <c r="H59">
        <v>7688</v>
      </c>
      <c r="I59">
        <v>8021</v>
      </c>
      <c r="J59">
        <v>9392</v>
      </c>
      <c r="K59">
        <v>11283</v>
      </c>
    </row>
    <row r="60" spans="1:11" x14ac:dyDescent="0.3">
      <c r="A60" s="3" t="s">
        <v>36</v>
      </c>
      <c r="B60">
        <v>15830</v>
      </c>
      <c r="C60">
        <v>19751</v>
      </c>
      <c r="D60">
        <v>24393</v>
      </c>
      <c r="E60">
        <v>27827</v>
      </c>
      <c r="F60">
        <v>35764</v>
      </c>
      <c r="G60">
        <v>43967</v>
      </c>
      <c r="H60">
        <v>44747</v>
      </c>
      <c r="I60">
        <v>46962</v>
      </c>
      <c r="J60">
        <v>54501</v>
      </c>
      <c r="K60">
        <v>62644</v>
      </c>
    </row>
    <row r="61" spans="1:11" s="1" customFormat="1" x14ac:dyDescent="0.3">
      <c r="A61" s="1" t="s">
        <v>12</v>
      </c>
      <c r="B61">
        <v>102333</v>
      </c>
      <c r="C61">
        <v>105126</v>
      </c>
      <c r="D61">
        <v>113901</v>
      </c>
      <c r="E61">
        <v>120127</v>
      </c>
      <c r="F61">
        <v>129992</v>
      </c>
      <c r="G61">
        <v>140924</v>
      </c>
      <c r="H61">
        <v>142859</v>
      </c>
      <c r="I61">
        <v>145472</v>
      </c>
      <c r="J61">
        <v>158649</v>
      </c>
      <c r="K61">
        <v>181167</v>
      </c>
    </row>
    <row r="62" spans="1:11" x14ac:dyDescent="0.3">
      <c r="A62" s="3" t="s">
        <v>13</v>
      </c>
      <c r="B62">
        <v>11701</v>
      </c>
      <c r="C62">
        <v>11973</v>
      </c>
      <c r="D62">
        <v>12290</v>
      </c>
      <c r="E62">
        <v>20928</v>
      </c>
      <c r="F62">
        <v>21021</v>
      </c>
      <c r="G62">
        <v>21298</v>
      </c>
      <c r="H62">
        <v>20515</v>
      </c>
      <c r="I62">
        <v>19604</v>
      </c>
      <c r="J62">
        <v>23053</v>
      </c>
      <c r="K62">
        <v>31343</v>
      </c>
    </row>
    <row r="63" spans="1:11" x14ac:dyDescent="0.3">
      <c r="A63" s="3" t="s">
        <v>14</v>
      </c>
      <c r="B63">
        <v>1541</v>
      </c>
      <c r="C63">
        <v>1278</v>
      </c>
      <c r="D63">
        <v>963</v>
      </c>
      <c r="E63">
        <v>906</v>
      </c>
      <c r="F63">
        <v>926</v>
      </c>
      <c r="G63">
        <v>1205</v>
      </c>
      <c r="H63">
        <v>1234</v>
      </c>
      <c r="I63">
        <v>1564</v>
      </c>
      <c r="J63">
        <v>1546</v>
      </c>
      <c r="K63">
        <v>2665</v>
      </c>
    </row>
    <row r="64" spans="1:11" x14ac:dyDescent="0.3">
      <c r="A64" s="3" t="s">
        <v>15</v>
      </c>
      <c r="B64">
        <v>41980</v>
      </c>
      <c r="C64">
        <v>36008</v>
      </c>
      <c r="D64">
        <v>29330</v>
      </c>
      <c r="E64">
        <v>26356</v>
      </c>
      <c r="F64">
        <v>29373</v>
      </c>
      <c r="G64">
        <v>30485</v>
      </c>
      <c r="H64">
        <v>37163</v>
      </c>
      <c r="I64">
        <v>31762</v>
      </c>
      <c r="J64">
        <v>30964</v>
      </c>
      <c r="K64">
        <v>33988</v>
      </c>
    </row>
    <row r="65" spans="1:11" x14ac:dyDescent="0.3">
      <c r="A65" s="3" t="s">
        <v>37</v>
      </c>
      <c r="B65">
        <v>47111</v>
      </c>
      <c r="C65">
        <v>55867</v>
      </c>
      <c r="D65">
        <v>71318</v>
      </c>
      <c r="E65">
        <v>71937</v>
      </c>
      <c r="F65">
        <v>78672</v>
      </c>
      <c r="G65">
        <v>87936</v>
      </c>
      <c r="H65">
        <v>83947</v>
      </c>
      <c r="I65">
        <v>92542</v>
      </c>
      <c r="J65">
        <v>103086</v>
      </c>
      <c r="K65">
        <v>113171</v>
      </c>
    </row>
    <row r="66" spans="1:11" s="1" customFormat="1" x14ac:dyDescent="0.3">
      <c r="A66" s="1" t="s">
        <v>12</v>
      </c>
      <c r="B66">
        <v>102333</v>
      </c>
      <c r="C66">
        <v>105126</v>
      </c>
      <c r="D66">
        <v>113901</v>
      </c>
      <c r="E66">
        <v>120127</v>
      </c>
      <c r="F66">
        <v>129992</v>
      </c>
      <c r="G66">
        <v>140924</v>
      </c>
      <c r="H66">
        <v>142859</v>
      </c>
      <c r="I66">
        <v>145472</v>
      </c>
      <c r="J66">
        <v>158649</v>
      </c>
      <c r="K66">
        <v>181167</v>
      </c>
    </row>
    <row r="67" spans="1:11" s="3" customFormat="1" x14ac:dyDescent="0.3">
      <c r="A67" s="3" t="s">
        <v>42</v>
      </c>
      <c r="B67">
        <v>22617</v>
      </c>
      <c r="C67">
        <v>24943</v>
      </c>
      <c r="D67">
        <v>27346</v>
      </c>
      <c r="E67">
        <v>30532</v>
      </c>
      <c r="F67">
        <v>30079</v>
      </c>
      <c r="G67">
        <v>41810</v>
      </c>
      <c r="H67">
        <v>49954</v>
      </c>
      <c r="I67">
        <v>53577</v>
      </c>
      <c r="J67">
        <v>59046</v>
      </c>
      <c r="K67">
        <v>67714</v>
      </c>
    </row>
    <row r="68" spans="1:11" x14ac:dyDescent="0.3">
      <c r="A68" s="3" t="s">
        <v>29</v>
      </c>
      <c r="B68">
        <v>21</v>
      </c>
      <c r="C68">
        <v>26</v>
      </c>
      <c r="D68">
        <v>10</v>
      </c>
      <c r="E68">
        <v>5</v>
      </c>
      <c r="F68">
        <v>8</v>
      </c>
      <c r="G68">
        <v>20</v>
      </c>
      <c r="H68">
        <v>28</v>
      </c>
      <c r="I68">
        <v>28</v>
      </c>
      <c r="J68">
        <v>21</v>
      </c>
      <c r="K68">
        <v>29</v>
      </c>
    </row>
    <row r="69" spans="1:11" x14ac:dyDescent="0.3">
      <c r="A69" s="2" t="s">
        <v>51</v>
      </c>
      <c r="B69">
        <v>4149</v>
      </c>
      <c r="C69">
        <v>7161</v>
      </c>
      <c r="D69">
        <v>12848</v>
      </c>
      <c r="E69">
        <v>9666</v>
      </c>
      <c r="F69">
        <v>9329</v>
      </c>
      <c r="G69">
        <v>18221</v>
      </c>
      <c r="H69">
        <v>11032</v>
      </c>
      <c r="I69">
        <v>13286</v>
      </c>
      <c r="J69">
        <v>15463</v>
      </c>
      <c r="K69">
        <v>12908</v>
      </c>
    </row>
    <row r="70" spans="1:11" x14ac:dyDescent="0.3">
      <c r="A70" s="2" t="s">
        <v>38</v>
      </c>
      <c r="B70">
        <v>1970427941</v>
      </c>
      <c r="C70">
        <v>1914287591</v>
      </c>
      <c r="D70">
        <v>3752384706</v>
      </c>
      <c r="E70">
        <v>3752384706</v>
      </c>
      <c r="F70">
        <v>3699051373</v>
      </c>
      <c r="G70">
        <v>3659051373</v>
      </c>
      <c r="H70">
        <v>3659051373</v>
      </c>
      <c r="I70">
        <v>3618087518</v>
      </c>
      <c r="J70">
        <v>3618087518</v>
      </c>
      <c r="K70">
        <v>3618087518</v>
      </c>
    </row>
    <row r="71" spans="1:11" x14ac:dyDescent="0.3">
      <c r="A71" s="2" t="s">
        <v>39</v>
      </c>
    </row>
    <row r="72" spans="1:11" x14ac:dyDescent="0.3">
      <c r="A72" s="2" t="s">
        <v>52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3" t="s">
        <v>105</v>
      </c>
      <c r="B74" s="2">
        <f>B65-SUM(B67:B69)</f>
        <v>20324</v>
      </c>
      <c r="C74" s="2">
        <f t="shared" ref="C74:K74" si="2">C65-SUM(C67:C69)</f>
        <v>23737</v>
      </c>
      <c r="D74" s="2">
        <f t="shared" si="2"/>
        <v>31114</v>
      </c>
      <c r="E74" s="2">
        <f t="shared" si="2"/>
        <v>31734</v>
      </c>
      <c r="F74" s="2">
        <f t="shared" si="2"/>
        <v>39256</v>
      </c>
      <c r="G74" s="2">
        <f t="shared" si="2"/>
        <v>27885</v>
      </c>
      <c r="H74" s="2">
        <f t="shared" si="2"/>
        <v>22933</v>
      </c>
      <c r="I74" s="2">
        <f t="shared" si="2"/>
        <v>25651</v>
      </c>
      <c r="J74" s="2">
        <f t="shared" si="2"/>
        <v>28556</v>
      </c>
      <c r="K74" s="2">
        <f t="shared" si="2"/>
        <v>32520</v>
      </c>
    </row>
    <row r="75" spans="1:11" x14ac:dyDescent="0.3">
      <c r="A75" s="3"/>
    </row>
    <row r="76" spans="1:11" x14ac:dyDescent="0.3">
      <c r="A76" s="3" t="s">
        <v>104</v>
      </c>
      <c r="B76" s="2">
        <f>B61</f>
        <v>102333</v>
      </c>
      <c r="C76" s="2">
        <f t="shared" ref="C76:K76" si="3">C61</f>
        <v>105126</v>
      </c>
      <c r="D76" s="2">
        <f t="shared" si="3"/>
        <v>113901</v>
      </c>
      <c r="E76" s="2">
        <f t="shared" si="3"/>
        <v>120127</v>
      </c>
      <c r="F76" s="2">
        <f t="shared" si="3"/>
        <v>129992</v>
      </c>
      <c r="G76" s="2">
        <f t="shared" si="3"/>
        <v>140924</v>
      </c>
      <c r="H76" s="2">
        <f t="shared" si="3"/>
        <v>142859</v>
      </c>
      <c r="I76" s="2">
        <f t="shared" si="3"/>
        <v>145472</v>
      </c>
      <c r="J76" s="2">
        <f t="shared" si="3"/>
        <v>158649</v>
      </c>
      <c r="K76" s="2">
        <f t="shared" si="3"/>
        <v>181167</v>
      </c>
    </row>
    <row r="77" spans="1:11" x14ac:dyDescent="0.3">
      <c r="A77" s="3"/>
    </row>
    <row r="78" spans="1:11" x14ac:dyDescent="0.3">
      <c r="A78" s="3"/>
    </row>
    <row r="79" spans="1:11" x14ac:dyDescent="0.3">
      <c r="A79" s="3"/>
    </row>
    <row r="80" spans="1:11" x14ac:dyDescent="0.3">
      <c r="A80" s="1" t="s">
        <v>26</v>
      </c>
    </row>
    <row r="81" spans="1:11" s="6" customFormat="1" x14ac:dyDescent="0.3">
      <c r="A81" s="5" t="s">
        <v>23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1" s="1" customFormat="1" x14ac:dyDescent="0.3">
      <c r="A82" s="3" t="s">
        <v>17</v>
      </c>
      <c r="B82">
        <v>25223</v>
      </c>
      <c r="C82">
        <v>25067</v>
      </c>
      <c r="D82">
        <v>28593</v>
      </c>
      <c r="E82">
        <v>32369</v>
      </c>
      <c r="F82">
        <v>38802</v>
      </c>
      <c r="G82">
        <v>39949</v>
      </c>
      <c r="H82">
        <v>41965</v>
      </c>
      <c r="I82">
        <v>44338</v>
      </c>
      <c r="J82">
        <v>48908</v>
      </c>
      <c r="K82">
        <v>52094</v>
      </c>
    </row>
    <row r="83" spans="1:11" s="3" customFormat="1" x14ac:dyDescent="0.3">
      <c r="A83" s="3" t="s">
        <v>18</v>
      </c>
      <c r="B83">
        <v>-16895</v>
      </c>
      <c r="C83">
        <v>3104</v>
      </c>
      <c r="D83">
        <v>1645</v>
      </c>
      <c r="E83">
        <v>8968</v>
      </c>
      <c r="F83">
        <v>-7956</v>
      </c>
      <c r="G83">
        <v>-738</v>
      </c>
      <c r="H83">
        <v>548</v>
      </c>
      <c r="I83">
        <v>6091</v>
      </c>
      <c r="J83">
        <v>-2144</v>
      </c>
      <c r="K83">
        <v>-11886</v>
      </c>
    </row>
    <row r="84" spans="1:11" s="3" customFormat="1" x14ac:dyDescent="0.3">
      <c r="A84" s="3" t="s">
        <v>19</v>
      </c>
      <c r="B84">
        <v>-11026</v>
      </c>
      <c r="C84">
        <v>-26885</v>
      </c>
      <c r="D84">
        <v>-27897</v>
      </c>
      <c r="E84">
        <v>-39915</v>
      </c>
      <c r="F84">
        <v>-32634</v>
      </c>
      <c r="G84">
        <v>-33581</v>
      </c>
      <c r="H84">
        <v>-47878</v>
      </c>
      <c r="I84">
        <v>-48536</v>
      </c>
      <c r="J84">
        <v>-47438</v>
      </c>
      <c r="K84">
        <v>-42133</v>
      </c>
    </row>
    <row r="85" spans="1:11" s="1" customFormat="1" x14ac:dyDescent="0.3">
      <c r="A85" s="3" t="s">
        <v>20</v>
      </c>
      <c r="B85">
        <v>-2698</v>
      </c>
      <c r="C85">
        <v>1286</v>
      </c>
      <c r="D85">
        <v>2341</v>
      </c>
      <c r="E85">
        <v>1422</v>
      </c>
      <c r="F85">
        <v>-1788</v>
      </c>
      <c r="G85">
        <v>5630</v>
      </c>
      <c r="H85">
        <v>-5365</v>
      </c>
      <c r="I85">
        <v>1893</v>
      </c>
      <c r="J85">
        <v>-674</v>
      </c>
      <c r="K85">
        <v>-1925</v>
      </c>
    </row>
    <row r="86" spans="1:11" x14ac:dyDescent="0.3">
      <c r="A86" s="3"/>
    </row>
    <row r="87" spans="1:11" x14ac:dyDescent="0.3">
      <c r="A87" s="3"/>
    </row>
    <row r="88" spans="1:11" x14ac:dyDescent="0.3">
      <c r="A88" s="3"/>
    </row>
    <row r="89" spans="1:11" x14ac:dyDescent="0.3">
      <c r="A89" s="3"/>
    </row>
    <row r="90" spans="1:11" s="1" customFormat="1" x14ac:dyDescent="0.3">
      <c r="A90" s="1" t="s">
        <v>41</v>
      </c>
      <c r="B90">
        <v>1215.9000000000001</v>
      </c>
      <c r="C90">
        <v>1424.58</v>
      </c>
      <c r="D90">
        <v>2001.65</v>
      </c>
      <c r="E90">
        <v>1826.1</v>
      </c>
      <c r="F90">
        <v>3177.85</v>
      </c>
      <c r="G90">
        <v>3739.95</v>
      </c>
      <c r="H90">
        <v>3205.9</v>
      </c>
      <c r="I90">
        <v>3876.3</v>
      </c>
      <c r="J90">
        <v>3606.15</v>
      </c>
      <c r="K90">
        <v>2358.9</v>
      </c>
    </row>
    <row r="92" spans="1:11" s="1" customFormat="1" x14ac:dyDescent="0.3">
      <c r="A92" s="1" t="s">
        <v>40</v>
      </c>
    </row>
    <row r="93" spans="1:11" x14ac:dyDescent="0.3">
      <c r="A93" s="2" t="s">
        <v>53</v>
      </c>
      <c r="B93" s="7">
        <v>394.09</v>
      </c>
      <c r="C93" s="7">
        <v>382.86</v>
      </c>
      <c r="D93" s="7">
        <v>375.24</v>
      </c>
      <c r="E93" s="7">
        <v>375.24</v>
      </c>
      <c r="F93" s="7">
        <v>369.91</v>
      </c>
      <c r="G93" s="7">
        <v>365.91</v>
      </c>
      <c r="H93" s="7">
        <v>365.91</v>
      </c>
      <c r="I93" s="7">
        <v>361.81</v>
      </c>
      <c r="J93" s="7">
        <v>361.81</v>
      </c>
      <c r="K93" s="7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7B5E6086-DB9C-4E97-867B-97D9E84FBF92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E2A8-26AD-46EB-969E-EA0A7F02AF22}">
  <dimension ref="B2:N36"/>
  <sheetViews>
    <sheetView tabSelected="1" workbookViewId="0">
      <selection activeCell="M8" sqref="M8"/>
    </sheetView>
  </sheetViews>
  <sheetFormatPr defaultRowHeight="14.4" x14ac:dyDescent="0.3"/>
  <cols>
    <col min="2" max="2" width="25.77734375" bestFit="1" customWidth="1"/>
    <col min="3" max="3" width="8.5546875" bestFit="1" customWidth="1"/>
    <col min="4" max="5" width="7.88671875" bestFit="1" customWidth="1"/>
    <col min="6" max="8" width="7.109375" bestFit="1" customWidth="1"/>
    <col min="9" max="12" width="8.5546875" bestFit="1" customWidth="1"/>
    <col min="13" max="13" width="7.88671875" bestFit="1" customWidth="1"/>
  </cols>
  <sheetData>
    <row r="2" spans="2:13" x14ac:dyDescent="0.3">
      <c r="C2" s="15">
        <v>42795</v>
      </c>
      <c r="D2" s="15">
        <v>43160</v>
      </c>
      <c r="E2" s="15">
        <v>43525</v>
      </c>
      <c r="F2" s="15">
        <v>43891</v>
      </c>
      <c r="G2" s="15">
        <v>44256</v>
      </c>
      <c r="H2" s="15">
        <v>44621</v>
      </c>
      <c r="I2" s="15">
        <v>44986</v>
      </c>
      <c r="J2" s="15">
        <v>45352</v>
      </c>
      <c r="K2" s="15">
        <v>45717</v>
      </c>
      <c r="L2" s="15">
        <v>46082</v>
      </c>
      <c r="M2" s="11"/>
    </row>
    <row r="3" spans="2:13" x14ac:dyDescent="0.3">
      <c r="B3" s="9" t="s">
        <v>95</v>
      </c>
      <c r="C3" s="16">
        <f t="shared" ref="C3:L3" si="0">C4+C10+C11</f>
        <v>25223</v>
      </c>
      <c r="D3" s="16">
        <f t="shared" si="0"/>
        <v>25067</v>
      </c>
      <c r="E3" s="16">
        <f t="shared" si="0"/>
        <v>28593</v>
      </c>
      <c r="F3" s="16">
        <f t="shared" si="0"/>
        <v>32369</v>
      </c>
      <c r="G3" s="16">
        <f t="shared" si="0"/>
        <v>38802</v>
      </c>
      <c r="H3" s="16">
        <f t="shared" si="0"/>
        <v>39949</v>
      </c>
      <c r="I3" s="16">
        <f t="shared" si="0"/>
        <v>41965</v>
      </c>
      <c r="J3" s="16">
        <f t="shared" si="0"/>
        <v>44338</v>
      </c>
      <c r="K3" s="16">
        <f t="shared" si="0"/>
        <v>48908</v>
      </c>
      <c r="L3" s="16">
        <f t="shared" si="0"/>
        <v>52094</v>
      </c>
    </row>
    <row r="4" spans="2:13" x14ac:dyDescent="0.3">
      <c r="B4" t="s">
        <v>58</v>
      </c>
      <c r="C4" s="14">
        <v>33800</v>
      </c>
      <c r="D4" s="14">
        <v>32885</v>
      </c>
      <c r="E4" s="14">
        <v>40720</v>
      </c>
      <c r="F4" s="14">
        <v>42882</v>
      </c>
      <c r="G4" s="14">
        <v>47031</v>
      </c>
      <c r="H4" s="14">
        <v>54204</v>
      </c>
      <c r="I4" s="14">
        <v>59148</v>
      </c>
      <c r="J4" s="14">
        <v>63709</v>
      </c>
      <c r="K4" s="14">
        <v>67853</v>
      </c>
      <c r="L4" s="14">
        <v>68688</v>
      </c>
      <c r="M4" s="14"/>
    </row>
    <row r="5" spans="2:13" x14ac:dyDescent="0.3">
      <c r="B5" t="s">
        <v>42</v>
      </c>
      <c r="C5" s="14">
        <v>680</v>
      </c>
      <c r="D5" s="14">
        <v>-1833</v>
      </c>
      <c r="E5" s="14">
        <v>-2883</v>
      </c>
      <c r="F5" s="14">
        <v>-3295</v>
      </c>
      <c r="G5" s="14">
        <v>1059</v>
      </c>
      <c r="H5" s="14">
        <v>-5144</v>
      </c>
      <c r="I5" s="14">
        <v>-7683</v>
      </c>
      <c r="J5" s="14">
        <v>-3332</v>
      </c>
      <c r="K5" s="14">
        <v>-5228</v>
      </c>
      <c r="L5" s="14">
        <v>-5248</v>
      </c>
      <c r="M5" s="9"/>
    </row>
    <row r="6" spans="2:13" x14ac:dyDescent="0.3">
      <c r="B6" t="s">
        <v>29</v>
      </c>
      <c r="C6">
        <v>0</v>
      </c>
      <c r="D6">
        <v>-5</v>
      </c>
      <c r="E6">
        <v>16</v>
      </c>
      <c r="F6">
        <v>5</v>
      </c>
      <c r="G6">
        <v>-3</v>
      </c>
      <c r="H6">
        <v>-12</v>
      </c>
      <c r="I6">
        <v>-8</v>
      </c>
      <c r="J6">
        <v>0</v>
      </c>
      <c r="K6">
        <v>7</v>
      </c>
      <c r="L6">
        <v>-8</v>
      </c>
    </row>
    <row r="7" spans="2:13" x14ac:dyDescent="0.3">
      <c r="B7" t="s">
        <v>59</v>
      </c>
      <c r="C7" s="14">
        <v>-201</v>
      </c>
      <c r="D7">
        <v>-346</v>
      </c>
      <c r="E7" s="14">
        <v>1496</v>
      </c>
      <c r="F7" s="14">
        <v>446</v>
      </c>
      <c r="G7">
        <v>-93</v>
      </c>
      <c r="H7">
        <v>186</v>
      </c>
      <c r="I7" s="14">
        <v>2036</v>
      </c>
      <c r="J7" s="14">
        <v>-632</v>
      </c>
      <c r="K7" s="14">
        <v>3718</v>
      </c>
      <c r="L7" s="14">
        <v>-1105</v>
      </c>
    </row>
    <row r="8" spans="2:13" x14ac:dyDescent="0.3">
      <c r="B8" t="s">
        <v>96</v>
      </c>
      <c r="C8">
        <v>0</v>
      </c>
      <c r="D8">
        <v>0</v>
      </c>
      <c r="E8">
        <v>-499</v>
      </c>
      <c r="F8">
        <v>0</v>
      </c>
      <c r="G8" s="14">
        <v>-17</v>
      </c>
      <c r="H8" s="14">
        <v>-116</v>
      </c>
      <c r="I8" s="14">
        <v>261</v>
      </c>
      <c r="J8" s="14">
        <v>-301</v>
      </c>
      <c r="K8" s="14">
        <v>-738</v>
      </c>
      <c r="L8" s="14">
        <v>197</v>
      </c>
      <c r="M8" s="14"/>
    </row>
    <row r="9" spans="2:13" x14ac:dyDescent="0.3">
      <c r="B9" t="s">
        <v>60</v>
      </c>
      <c r="C9" s="14">
        <v>-1110</v>
      </c>
      <c r="D9" s="14">
        <v>1975</v>
      </c>
      <c r="E9" s="14">
        <v>-299</v>
      </c>
      <c r="F9" s="14">
        <v>-1823</v>
      </c>
      <c r="G9" s="14">
        <v>-83</v>
      </c>
      <c r="H9" s="14">
        <v>2317</v>
      </c>
      <c r="I9" s="14">
        <v>1177</v>
      </c>
      <c r="J9" s="14">
        <v>-2617</v>
      </c>
      <c r="K9" s="14">
        <v>-1118</v>
      </c>
      <c r="L9" s="14">
        <v>3954</v>
      </c>
    </row>
    <row r="10" spans="2:13" x14ac:dyDescent="0.3">
      <c r="B10" t="s">
        <v>61</v>
      </c>
      <c r="C10" s="14">
        <f t="shared" ref="C10:L10" si="1">SUM(C5:C9)</f>
        <v>-631</v>
      </c>
      <c r="D10" s="14">
        <f t="shared" si="1"/>
        <v>-209</v>
      </c>
      <c r="E10" s="14">
        <f t="shared" si="1"/>
        <v>-2169</v>
      </c>
      <c r="F10" s="14">
        <f t="shared" si="1"/>
        <v>-4667</v>
      </c>
      <c r="G10" s="14">
        <f t="shared" si="1"/>
        <v>863</v>
      </c>
      <c r="H10" s="14">
        <f t="shared" si="1"/>
        <v>-2769</v>
      </c>
      <c r="I10" s="14">
        <f t="shared" si="1"/>
        <v>-4217</v>
      </c>
      <c r="J10" s="14">
        <f t="shared" si="1"/>
        <v>-6882</v>
      </c>
      <c r="K10" s="14">
        <f t="shared" si="1"/>
        <v>-3359</v>
      </c>
      <c r="L10" s="14">
        <f t="shared" si="1"/>
        <v>-2210</v>
      </c>
      <c r="M10" s="16"/>
    </row>
    <row r="11" spans="2:13" x14ac:dyDescent="0.3">
      <c r="B11" t="s">
        <v>62</v>
      </c>
      <c r="C11" s="14">
        <v>-7946</v>
      </c>
      <c r="D11" s="14">
        <v>-7609</v>
      </c>
      <c r="E11" s="14">
        <v>-9958</v>
      </c>
      <c r="F11" s="14">
        <v>-5846</v>
      </c>
      <c r="G11" s="14">
        <v>-9092</v>
      </c>
      <c r="H11" s="14">
        <v>-11486</v>
      </c>
      <c r="I11" s="14">
        <v>-12966</v>
      </c>
      <c r="J11" s="14">
        <v>-12489</v>
      </c>
      <c r="K11" s="14">
        <v>-15586</v>
      </c>
      <c r="L11" s="14">
        <v>-14384</v>
      </c>
      <c r="M11" s="14"/>
    </row>
    <row r="12" spans="2:13" x14ac:dyDescent="0.3">
      <c r="B12" s="9" t="s">
        <v>97</v>
      </c>
      <c r="C12" s="16">
        <v>-16895</v>
      </c>
      <c r="D12" s="16">
        <v>3104</v>
      </c>
      <c r="E12" s="16">
        <v>1645</v>
      </c>
      <c r="F12" s="16">
        <v>8968</v>
      </c>
      <c r="G12" s="16">
        <v>-7956</v>
      </c>
      <c r="H12" s="16">
        <v>-738</v>
      </c>
      <c r="I12" s="16">
        <v>548</v>
      </c>
      <c r="J12" s="16">
        <v>6091</v>
      </c>
      <c r="K12" s="16">
        <v>-2144</v>
      </c>
      <c r="L12" s="16">
        <v>-12845</v>
      </c>
      <c r="M12" s="14"/>
    </row>
    <row r="13" spans="2:13" x14ac:dyDescent="0.3">
      <c r="B13" t="s">
        <v>63</v>
      </c>
      <c r="C13" s="14">
        <v>-1989</v>
      </c>
      <c r="D13" s="14">
        <v>-1862</v>
      </c>
      <c r="E13" s="14">
        <v>-2231</v>
      </c>
      <c r="F13" s="14">
        <v>-3249</v>
      </c>
      <c r="G13" s="14">
        <v>-3176</v>
      </c>
      <c r="H13" s="14">
        <v>-2995</v>
      </c>
      <c r="I13" s="14">
        <v>-3100</v>
      </c>
      <c r="J13" s="14">
        <v>-2674</v>
      </c>
      <c r="K13" s="14">
        <v>-3937</v>
      </c>
      <c r="L13" s="14">
        <v>-4187</v>
      </c>
    </row>
    <row r="14" spans="2:13" x14ac:dyDescent="0.3">
      <c r="B14" t="s">
        <v>64</v>
      </c>
      <c r="C14" s="14">
        <v>36</v>
      </c>
      <c r="D14" s="14">
        <v>58</v>
      </c>
      <c r="E14" s="14">
        <v>99</v>
      </c>
      <c r="F14" s="14">
        <v>161</v>
      </c>
      <c r="G14" s="14">
        <v>37</v>
      </c>
      <c r="H14" s="14">
        <v>31</v>
      </c>
      <c r="I14" s="14">
        <v>37</v>
      </c>
      <c r="J14" s="14">
        <v>24</v>
      </c>
      <c r="K14" s="14">
        <v>23</v>
      </c>
      <c r="L14" s="14">
        <v>931</v>
      </c>
      <c r="M14" s="14"/>
    </row>
    <row r="15" spans="2:13" x14ac:dyDescent="0.3">
      <c r="B15" t="s">
        <v>65</v>
      </c>
      <c r="C15" s="14">
        <v>-121423</v>
      </c>
      <c r="D15" s="14">
        <v>-97473</v>
      </c>
      <c r="E15" s="14">
        <v>-96751</v>
      </c>
      <c r="F15" s="14">
        <v>-80002</v>
      </c>
      <c r="G15" s="14">
        <v>-54462</v>
      </c>
      <c r="H15" s="14">
        <v>-75374</v>
      </c>
      <c r="I15" s="14">
        <v>-129745</v>
      </c>
      <c r="J15" s="14">
        <v>-141011</v>
      </c>
      <c r="K15" s="14">
        <v>-145962</v>
      </c>
      <c r="L15" s="14">
        <v>-151864</v>
      </c>
      <c r="M15" s="16"/>
    </row>
    <row r="16" spans="2:13" x14ac:dyDescent="0.3">
      <c r="B16" t="s">
        <v>66</v>
      </c>
      <c r="C16" s="14">
        <v>102798</v>
      </c>
      <c r="D16" s="14">
        <v>103482</v>
      </c>
      <c r="E16" s="14">
        <v>104133</v>
      </c>
      <c r="F16" s="14">
        <v>84089</v>
      </c>
      <c r="G16" s="14">
        <v>51630</v>
      </c>
      <c r="H16" s="14">
        <v>73852</v>
      </c>
      <c r="I16" s="14">
        <v>122687</v>
      </c>
      <c r="J16" s="14">
        <v>147204</v>
      </c>
      <c r="K16" s="14">
        <v>147695</v>
      </c>
      <c r="L16" s="14">
        <v>148023</v>
      </c>
      <c r="M16" s="16"/>
    </row>
    <row r="17" spans="2:14" x14ac:dyDescent="0.3">
      <c r="B17" t="s">
        <v>67</v>
      </c>
      <c r="C17" s="14">
        <v>1788</v>
      </c>
      <c r="D17" s="14">
        <v>2623</v>
      </c>
      <c r="E17" s="14">
        <v>2619</v>
      </c>
      <c r="F17" s="14">
        <v>3729</v>
      </c>
      <c r="G17" s="14">
        <v>2730</v>
      </c>
      <c r="H17" s="14">
        <v>2700</v>
      </c>
      <c r="I17" s="14">
        <v>3080</v>
      </c>
      <c r="J17" s="14">
        <v>2990</v>
      </c>
      <c r="K17" s="14">
        <v>3056</v>
      </c>
      <c r="L17" s="14">
        <v>3008</v>
      </c>
    </row>
    <row r="18" spans="2:14" x14ac:dyDescent="0.3">
      <c r="B18" t="s">
        <v>68</v>
      </c>
      <c r="C18" s="14">
        <v>1</v>
      </c>
      <c r="D18" s="14">
        <v>9</v>
      </c>
      <c r="E18" s="14">
        <v>18</v>
      </c>
      <c r="F18" s="14">
        <v>8</v>
      </c>
      <c r="G18" s="14">
        <v>8</v>
      </c>
      <c r="H18" s="14">
        <v>4</v>
      </c>
      <c r="I18" s="14">
        <v>13</v>
      </c>
      <c r="J18" s="14">
        <v>26</v>
      </c>
      <c r="K18" s="14">
        <v>40</v>
      </c>
      <c r="L18" s="14">
        <v>84</v>
      </c>
    </row>
    <row r="19" spans="2:14" x14ac:dyDescent="0.3">
      <c r="B19" t="s">
        <v>69</v>
      </c>
      <c r="C19" s="14">
        <v>0</v>
      </c>
      <c r="D19" s="14">
        <v>0</v>
      </c>
      <c r="E19" s="14">
        <v>-50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</row>
    <row r="20" spans="2:14" x14ac:dyDescent="0.3">
      <c r="B20" t="s">
        <v>115</v>
      </c>
      <c r="C20" s="14">
        <v>1619</v>
      </c>
      <c r="D20" s="14">
        <v>-2230</v>
      </c>
      <c r="E20" s="14">
        <v>-2927</v>
      </c>
      <c r="F20" s="14">
        <v>-473</v>
      </c>
      <c r="G20" s="14">
        <v>-3058</v>
      </c>
      <c r="H20" s="14">
        <v>4879</v>
      </c>
      <c r="I20" s="14">
        <v>5361</v>
      </c>
      <c r="J20" s="14">
        <v>846</v>
      </c>
      <c r="K20" s="14">
        <v>170</v>
      </c>
      <c r="L20" s="14">
        <v>0</v>
      </c>
    </row>
    <row r="21" spans="2:14" x14ac:dyDescent="0.3">
      <c r="B21" t="s">
        <v>70</v>
      </c>
      <c r="C21" s="14">
        <v>275</v>
      </c>
      <c r="D21" s="14">
        <v>-1503</v>
      </c>
      <c r="E21" s="14">
        <v>-3265</v>
      </c>
      <c r="F21" s="14">
        <v>4705</v>
      </c>
      <c r="G21" s="14">
        <v>-1665</v>
      </c>
      <c r="H21" s="14">
        <v>-3835</v>
      </c>
      <c r="I21" s="14">
        <v>2215</v>
      </c>
      <c r="J21" s="14">
        <v>-1314</v>
      </c>
      <c r="K21" s="14">
        <v>-3229</v>
      </c>
      <c r="L21" s="14">
        <v>-8840</v>
      </c>
    </row>
    <row r="22" spans="2:14" x14ac:dyDescent="0.3">
      <c r="B22" s="9" t="s">
        <v>98</v>
      </c>
      <c r="C22" s="16">
        <v>-11026</v>
      </c>
      <c r="D22" s="16">
        <v>-26885</v>
      </c>
      <c r="E22" s="16">
        <v>-27897</v>
      </c>
      <c r="F22" s="16">
        <v>-39915</v>
      </c>
      <c r="G22" s="16">
        <v>-32634</v>
      </c>
      <c r="H22" s="16">
        <v>-33581</v>
      </c>
      <c r="I22" s="16">
        <v>-47878</v>
      </c>
      <c r="J22" s="16">
        <v>-48536</v>
      </c>
      <c r="K22" s="16">
        <v>-47438</v>
      </c>
      <c r="L22" s="16">
        <v>-42133</v>
      </c>
    </row>
    <row r="23" spans="2:14" x14ac:dyDescent="0.3">
      <c r="B23" t="s">
        <v>71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18</v>
      </c>
      <c r="J23">
        <v>425</v>
      </c>
      <c r="K23">
        <v>0</v>
      </c>
      <c r="L23">
        <v>0</v>
      </c>
    </row>
    <row r="24" spans="2:14" x14ac:dyDescent="0.3">
      <c r="B24" t="s">
        <v>72</v>
      </c>
      <c r="C24" s="14">
        <v>87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/>
    </row>
    <row r="25" spans="2:14" x14ac:dyDescent="0.3">
      <c r="B25" t="s">
        <v>73</v>
      </c>
      <c r="C25">
        <v>0</v>
      </c>
      <c r="D25">
        <v>-19</v>
      </c>
      <c r="E25">
        <v>-181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2:14" x14ac:dyDescent="0.3">
      <c r="B26" t="s">
        <v>74</v>
      </c>
      <c r="C26" s="14">
        <v>-20</v>
      </c>
      <c r="D26" s="14">
        <v>-40</v>
      </c>
      <c r="E26" s="14">
        <v>-186</v>
      </c>
      <c r="F26" s="14">
        <v>-924</v>
      </c>
      <c r="G26" s="14">
        <v>-634</v>
      </c>
      <c r="H26" s="14">
        <v>-698</v>
      </c>
      <c r="I26" s="14">
        <v>-779</v>
      </c>
      <c r="J26" s="14">
        <v>-699</v>
      </c>
      <c r="K26" s="14">
        <v>-840</v>
      </c>
      <c r="L26" s="14">
        <v>-901</v>
      </c>
      <c r="N26" s="14"/>
    </row>
    <row r="27" spans="2:14" x14ac:dyDescent="0.3">
      <c r="B27" t="s">
        <v>75</v>
      </c>
      <c r="C27" s="14">
        <v>-10973</v>
      </c>
      <c r="D27" s="14">
        <v>-10760</v>
      </c>
      <c r="E27" s="14">
        <v>-11472</v>
      </c>
      <c r="F27" s="14">
        <v>-37702</v>
      </c>
      <c r="G27" s="14">
        <v>-10907</v>
      </c>
      <c r="H27" s="14">
        <v>-13375</v>
      </c>
      <c r="I27" s="14">
        <v>-41410</v>
      </c>
      <c r="J27" s="14">
        <v>-25218</v>
      </c>
      <c r="K27" s="14">
        <v>-44962</v>
      </c>
      <c r="L27" s="14">
        <v>-39571</v>
      </c>
      <c r="N27" s="14"/>
    </row>
    <row r="28" spans="2:14" x14ac:dyDescent="0.3">
      <c r="B28" t="s">
        <v>76</v>
      </c>
      <c r="C28" s="14">
        <v>-66</v>
      </c>
      <c r="D28" s="14">
        <v>-24</v>
      </c>
      <c r="E28" s="14">
        <v>-13</v>
      </c>
      <c r="F28" s="14">
        <v>-1062</v>
      </c>
      <c r="G28" s="14">
        <v>-1336</v>
      </c>
      <c r="H28" s="14">
        <v>-1417</v>
      </c>
      <c r="I28" s="14">
        <v>-1515</v>
      </c>
      <c r="J28" s="14">
        <v>-1614</v>
      </c>
      <c r="K28" s="14">
        <v>-1664</v>
      </c>
      <c r="L28" s="14">
        <v>-1861</v>
      </c>
      <c r="M28" s="14"/>
    </row>
    <row r="29" spans="2:14" x14ac:dyDescent="0.3">
      <c r="B29" t="s">
        <v>77</v>
      </c>
      <c r="C29" s="14">
        <v>-54</v>
      </c>
      <c r="D29" s="14">
        <v>-16042</v>
      </c>
      <c r="E29" s="14">
        <v>-16045</v>
      </c>
      <c r="F29" s="14">
        <v>-227</v>
      </c>
      <c r="G29" s="14">
        <v>-19757</v>
      </c>
      <c r="H29" s="14">
        <v>-18091</v>
      </c>
      <c r="I29" s="14">
        <v>-4192</v>
      </c>
      <c r="J29" s="14">
        <v>-21430</v>
      </c>
      <c r="K29" s="14">
        <v>28</v>
      </c>
      <c r="L29" s="14">
        <v>200</v>
      </c>
      <c r="M29" s="14"/>
    </row>
    <row r="30" spans="2:14" x14ac:dyDescent="0.3">
      <c r="B30" s="17" t="s">
        <v>20</v>
      </c>
      <c r="C30" s="18">
        <v>-2698</v>
      </c>
      <c r="D30" s="18">
        <v>1286</v>
      </c>
      <c r="E30" s="18">
        <v>2341</v>
      </c>
      <c r="F30" s="18">
        <v>1422</v>
      </c>
      <c r="G30" s="18">
        <v>-1788</v>
      </c>
      <c r="H30" s="18">
        <v>5630</v>
      </c>
      <c r="I30" s="18">
        <v>-5365</v>
      </c>
      <c r="J30" s="18">
        <v>1893</v>
      </c>
      <c r="K30" s="18">
        <v>-674</v>
      </c>
      <c r="L30" s="18">
        <v>-2884</v>
      </c>
      <c r="M30" s="16"/>
    </row>
    <row r="32" spans="2:14" x14ac:dyDescent="0.3"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3:13" x14ac:dyDescent="0.3"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3:13" x14ac:dyDescent="0.3"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3:13" x14ac:dyDescent="0.3"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3:13" x14ac:dyDescent="0.3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6"/>
    </row>
  </sheetData>
  <pageMargins left="0.7" right="0.7" top="0.75" bottom="0.75" header="0.3" footer="0.3"/>
  <ignoredErrors>
    <ignoredError sqref="C10:L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Financials&gt;</vt:lpstr>
      <vt:lpstr>HistoricalFS</vt:lpstr>
      <vt:lpstr>Forecasting</vt:lpstr>
      <vt:lpstr>Ratio Analysis</vt:lpstr>
      <vt:lpstr>Common Size Statement</vt:lpstr>
      <vt:lpstr>Data&gt;</vt:lpstr>
      <vt:lpstr>Data Sheet</vt:lpstr>
      <vt:lpstr>Cash 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Arjit Uttam</cp:lastModifiedBy>
  <cp:lastPrinted>2012-12-06T18:14:13Z</cp:lastPrinted>
  <dcterms:created xsi:type="dcterms:W3CDTF">2012-08-17T09:55:37Z</dcterms:created>
  <dcterms:modified xsi:type="dcterms:W3CDTF">2026-05-05T21:49:48Z</dcterms:modified>
</cp:coreProperties>
</file>