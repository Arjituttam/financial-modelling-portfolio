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IT\Downloads\"/>
    </mc:Choice>
  </mc:AlternateContent>
  <xr:revisionPtr revIDLastSave="0" documentId="8_{ECA51A1C-6D01-4DA3-ADAE-869AD026550D}" xr6:coauthVersionLast="47" xr6:coauthVersionMax="47" xr10:uidLastSave="{00000000-0000-0000-0000-000000000000}"/>
  <bookViews>
    <workbookView xWindow="-108" yWindow="-108" windowWidth="23256" windowHeight="12576" xr2:uid="{CD5DE61A-662B-41A3-BDC2-938EED6A90DE}"/>
  </bookViews>
  <sheets>
    <sheet name="Comps_Val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" i="1" l="1"/>
  <c r="P35" i="1"/>
  <c r="O35" i="1"/>
  <c r="P29" i="1"/>
  <c r="O29" i="1"/>
  <c r="Q15" i="1"/>
  <c r="P16" i="1"/>
  <c r="P15" i="1"/>
  <c r="P13" i="1"/>
  <c r="P12" i="1"/>
  <c r="P11" i="1"/>
  <c r="O17" i="1"/>
  <c r="O16" i="1"/>
  <c r="O15" i="1"/>
  <c r="O13" i="1"/>
  <c r="O12" i="1"/>
  <c r="O11" i="1"/>
  <c r="M17" i="1"/>
  <c r="M16" i="1"/>
  <c r="M15" i="1"/>
  <c r="M14" i="1"/>
  <c r="M13" i="1"/>
  <c r="M12" i="1"/>
  <c r="M11" i="1"/>
  <c r="M10" i="1"/>
  <c r="M9" i="1"/>
  <c r="L17" i="1"/>
  <c r="P17" i="1" s="1"/>
  <c r="L16" i="1"/>
  <c r="L15" i="1"/>
  <c r="L14" i="1"/>
  <c r="L13" i="1"/>
  <c r="L12" i="1"/>
  <c r="L11" i="1"/>
  <c r="L10" i="1"/>
  <c r="L9" i="1"/>
  <c r="K17" i="1"/>
  <c r="K16" i="1"/>
  <c r="K15" i="1"/>
  <c r="K14" i="1"/>
  <c r="K13" i="1"/>
  <c r="K12" i="1"/>
  <c r="K11" i="1"/>
  <c r="K10" i="1"/>
  <c r="K9" i="1"/>
  <c r="M8" i="1"/>
  <c r="L8" i="1"/>
  <c r="K8" i="1"/>
  <c r="H17" i="1"/>
  <c r="H16" i="1"/>
  <c r="H15" i="1"/>
  <c r="H14" i="1"/>
  <c r="P14" i="1" s="1"/>
  <c r="H13" i="1"/>
  <c r="H12" i="1"/>
  <c r="H11" i="1"/>
  <c r="H10" i="1"/>
  <c r="P10" i="1" s="1"/>
  <c r="H9" i="1"/>
  <c r="P9" i="1" s="1"/>
  <c r="H8" i="1"/>
  <c r="P8" i="1" s="1"/>
  <c r="G17" i="1"/>
  <c r="G16" i="1"/>
  <c r="G15" i="1"/>
  <c r="G14" i="1"/>
  <c r="G13" i="1"/>
  <c r="G12" i="1"/>
  <c r="G11" i="1"/>
  <c r="G10" i="1"/>
  <c r="G9" i="1"/>
  <c r="G8" i="1"/>
  <c r="Q29" i="1" s="1"/>
  <c r="F15" i="1"/>
  <c r="E17" i="1"/>
  <c r="F17" i="1" s="1"/>
  <c r="Q17" i="1" s="1"/>
  <c r="E16" i="1"/>
  <c r="F16" i="1" s="1"/>
  <c r="Q16" i="1" s="1"/>
  <c r="E15" i="1"/>
  <c r="E14" i="1"/>
  <c r="E13" i="1"/>
  <c r="E12" i="1"/>
  <c r="E11" i="1"/>
  <c r="E10" i="1"/>
  <c r="E9" i="1"/>
  <c r="E8" i="1"/>
  <c r="Q31" i="1" s="1"/>
  <c r="D17" i="1"/>
  <c r="D16" i="1"/>
  <c r="D15" i="1"/>
  <c r="D14" i="1"/>
  <c r="F14" i="1" s="1"/>
  <c r="Q14" i="1" s="1"/>
  <c r="D13" i="1"/>
  <c r="F13" i="1" s="1"/>
  <c r="Q13" i="1" s="1"/>
  <c r="D12" i="1"/>
  <c r="F12" i="1" s="1"/>
  <c r="Q12" i="1" s="1"/>
  <c r="D11" i="1"/>
  <c r="D10" i="1"/>
  <c r="D9" i="1"/>
  <c r="F9" i="1" s="1"/>
  <c r="Q9" i="1" s="1"/>
  <c r="D8" i="1"/>
  <c r="F8" i="1" s="1"/>
  <c r="Q8" i="1" s="1"/>
  <c r="B17" i="1"/>
  <c r="B16" i="1"/>
  <c r="B15" i="1"/>
  <c r="B14" i="1"/>
  <c r="B13" i="1"/>
  <c r="B12" i="1"/>
  <c r="B11" i="1"/>
  <c r="B10" i="1"/>
  <c r="B9" i="1"/>
  <c r="B8" i="1"/>
  <c r="I12" i="2"/>
  <c r="I11" i="2"/>
  <c r="I10" i="2"/>
  <c r="I9" i="2"/>
  <c r="I8" i="2"/>
  <c r="I7" i="2"/>
  <c r="I6" i="2"/>
  <c r="I5" i="2"/>
  <c r="I4" i="2"/>
  <c r="I3" i="2"/>
  <c r="F12" i="2"/>
  <c r="F11" i="2"/>
  <c r="F10" i="2"/>
  <c r="F9" i="2"/>
  <c r="F8" i="2"/>
  <c r="F7" i="2"/>
  <c r="F6" i="2"/>
  <c r="F5" i="2"/>
  <c r="F4" i="2"/>
  <c r="F3" i="2"/>
  <c r="P24" i="1" l="1"/>
  <c r="P20" i="1"/>
  <c r="P22" i="1"/>
  <c r="P28" i="1" s="1"/>
  <c r="P30" i="1" s="1"/>
  <c r="P33" i="1" s="1"/>
  <c r="P23" i="1"/>
  <c r="P19" i="1"/>
  <c r="P21" i="1"/>
  <c r="Q22" i="1"/>
  <c r="Q30" i="1" s="1"/>
  <c r="Q23" i="1"/>
  <c r="Q19" i="1"/>
  <c r="Q21" i="1"/>
  <c r="Q24" i="1"/>
  <c r="Q20" i="1"/>
  <c r="P31" i="1"/>
  <c r="O31" i="1"/>
  <c r="O14" i="1"/>
  <c r="F10" i="1"/>
  <c r="Q10" i="1" s="1"/>
  <c r="O8" i="1"/>
  <c r="F11" i="1"/>
  <c r="Q11" i="1" s="1"/>
  <c r="O9" i="1"/>
  <c r="O10" i="1"/>
  <c r="Q33" i="1" l="1"/>
  <c r="Q28" i="1"/>
  <c r="O19" i="1"/>
  <c r="O24" i="1"/>
  <c r="O20" i="1"/>
  <c r="O23" i="1"/>
  <c r="O22" i="1"/>
  <c r="O28" i="1" s="1"/>
  <c r="O30" i="1" s="1"/>
  <c r="O33" i="1" s="1"/>
  <c r="O21" i="1"/>
</calcChain>
</file>

<file path=xl/sharedStrings.xml><?xml version="1.0" encoding="utf-8"?>
<sst xmlns="http://schemas.openxmlformats.org/spreadsheetml/2006/main" count="66" uniqueCount="60">
  <si>
    <t>Amount in crores</t>
  </si>
  <si>
    <t>Comparable Company Valuation</t>
  </si>
  <si>
    <t xml:space="preserve">Company </t>
  </si>
  <si>
    <t>Ticker</t>
  </si>
  <si>
    <t>Share Price</t>
  </si>
  <si>
    <t>Share Outstanding</t>
  </si>
  <si>
    <t>Equity Value</t>
  </si>
  <si>
    <t>Net Debt</t>
  </si>
  <si>
    <t>Enterprise Value</t>
  </si>
  <si>
    <t>Market Data</t>
  </si>
  <si>
    <t>Financials</t>
  </si>
  <si>
    <t xml:space="preserve">Revenue </t>
  </si>
  <si>
    <t>EBITDA</t>
  </si>
  <si>
    <t>Net Income</t>
  </si>
  <si>
    <t>EV/Revenue</t>
  </si>
  <si>
    <t>EV/EBITDA</t>
  </si>
  <si>
    <t>P/E</t>
  </si>
  <si>
    <t>Valuation</t>
  </si>
  <si>
    <t>S.No.</t>
  </si>
  <si>
    <t>Name</t>
  </si>
  <si>
    <t>CMP Rs.</t>
  </si>
  <si>
    <t>No. Eq. Shares Cr.</t>
  </si>
  <si>
    <t xml:space="preserve">Mar Cap Rs.Cr. </t>
  </si>
  <si>
    <t>Debt Rs.Cr.</t>
  </si>
  <si>
    <t>Cash End Rs.Cr.</t>
  </si>
  <si>
    <t>EV Rs.Cr.</t>
  </si>
  <si>
    <t>Sales Rs.Cr.</t>
  </si>
  <si>
    <t>EBITDA Rs.Cr.</t>
  </si>
  <si>
    <t>NP Ann Rs.Cr.</t>
  </si>
  <si>
    <t>TCS</t>
  </si>
  <si>
    <t>Infosys</t>
  </si>
  <si>
    <t>HCL Technologies</t>
  </si>
  <si>
    <t>Wipro</t>
  </si>
  <si>
    <t>Tech Mahindra</t>
  </si>
  <si>
    <t>LTM</t>
  </si>
  <si>
    <t>Persistent Systems</t>
  </si>
  <si>
    <t>Oracle Fin.Serv.</t>
  </si>
  <si>
    <t>Mphasis</t>
  </si>
  <si>
    <t>Coforge</t>
  </si>
  <si>
    <t xml:space="preserve">High </t>
  </si>
  <si>
    <t xml:space="preserve">75th Percentile </t>
  </si>
  <si>
    <t>Average</t>
  </si>
  <si>
    <t>Median</t>
  </si>
  <si>
    <t>25th Percentile</t>
  </si>
  <si>
    <t>Low</t>
  </si>
  <si>
    <t>TCS Comparable Valuation</t>
  </si>
  <si>
    <t>Implied Enterprise Value</t>
  </si>
  <si>
    <t>Implied Market Value</t>
  </si>
  <si>
    <t>Shares Outstanding</t>
  </si>
  <si>
    <t>Impiled Value per Share</t>
  </si>
  <si>
    <t>Source: The Valuation School, Screener.in</t>
  </si>
  <si>
    <t>INFY</t>
  </si>
  <si>
    <t>HCLTECH</t>
  </si>
  <si>
    <t>WIPRO</t>
  </si>
  <si>
    <t>MPHASIS</t>
  </si>
  <si>
    <t>COFORGE</t>
  </si>
  <si>
    <t xml:space="preserve">TECHM </t>
  </si>
  <si>
    <t xml:space="preserve">LTM </t>
  </si>
  <si>
    <t xml:space="preserve">PERSISTENT </t>
  </si>
  <si>
    <t>OFSS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</si>
</sst>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x"/>
  </numFmts>
  <fonts count="7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b/>
      <sz val="11"/>
      <color rgb="FF0066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6666"/>
      </bottom>
      <diagonal/>
    </border>
    <border>
      <left/>
      <right/>
      <top style="thin">
        <color rgb="FF006666"/>
      </top>
      <bottom style="thin">
        <color rgb="FF006666"/>
      </bottom>
      <diagonal/>
    </border>
    <border>
      <left/>
      <right/>
      <top style="thin">
        <color rgb="FF006666"/>
      </top>
      <bottom style="thin">
        <color theme="0"/>
      </bottom>
      <diagonal/>
    </border>
    <border>
      <left/>
      <right/>
      <top style="hair">
        <color rgb="FF006666"/>
      </top>
      <bottom style="hair">
        <color rgb="FF00666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wrapText="1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0" fillId="0" borderId="4" xfId="0" applyBorder="1"/>
    <xf numFmtId="0" fontId="0" fillId="3" borderId="4" xfId="0" applyFill="1" applyBorder="1"/>
    <xf numFmtId="0" fontId="2" fillId="3" borderId="4" xfId="0" applyFont="1" applyFill="1" applyBorder="1"/>
    <xf numFmtId="0" fontId="3" fillId="2" borderId="0" xfId="0" applyFont="1" applyFill="1"/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4" xfId="0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" fontId="0" fillId="3" borderId="2" xfId="0" applyNumberForma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65" fontId="0" fillId="3" borderId="2" xfId="0" applyNumberFormat="1" applyFill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1" fontId="0" fillId="4" borderId="2" xfId="0" applyNumberFormat="1" applyFill="1" applyBorder="1" applyAlignment="1">
      <alignment horizontal="right"/>
    </xf>
    <xf numFmtId="165" fontId="0" fillId="4" borderId="2" xfId="0" applyNumberFormat="1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165" fontId="0" fillId="3" borderId="4" xfId="0" applyNumberForma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65" fontId="2" fillId="3" borderId="4" xfId="0" applyNumberFormat="1" applyFont="1" applyFill="1" applyBorder="1" applyAlignment="1">
      <alignment horizontal="right"/>
    </xf>
    <xf numFmtId="0" fontId="2" fillId="0" borderId="2" xfId="0" applyFont="1" applyBorder="1"/>
    <xf numFmtId="1" fontId="2" fillId="0" borderId="2" xfId="0" applyNumberFormat="1" applyFont="1" applyBorder="1"/>
    <xf numFmtId="1" fontId="0" fillId="0" borderId="4" xfId="0" applyNumberFormat="1" applyBorder="1"/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66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DAD0-0E38-40AF-B021-E936F019D55A}">
  <dimension ref="B2:Q35"/>
  <sheetViews>
    <sheetView showGridLines="0" tabSelected="1" topLeftCell="A6" workbookViewId="0">
      <selection activeCell="B42" sqref="B42"/>
    </sheetView>
  </sheetViews>
  <sheetFormatPr defaultRowHeight="14.4" x14ac:dyDescent="0.3"/>
  <cols>
    <col min="1" max="1" width="1.88671875" customWidth="1"/>
    <col min="2" max="2" width="16.109375" bestFit="1" customWidth="1"/>
    <col min="3" max="3" width="10.6640625" customWidth="1"/>
    <col min="4" max="4" width="10.44140625" customWidth="1"/>
    <col min="5" max="5" width="11.44140625" customWidth="1"/>
    <col min="8" max="9" width="9.44140625" customWidth="1"/>
    <col min="10" max="10" width="1.88671875" customWidth="1"/>
    <col min="13" max="13" width="10.6640625" customWidth="1"/>
    <col min="14" max="14" width="1.88671875" customWidth="1"/>
    <col min="15" max="15" width="11.109375" bestFit="1" customWidth="1"/>
    <col min="16" max="16" width="10.6640625" bestFit="1" customWidth="1"/>
    <col min="17" max="17" width="11.33203125" customWidth="1"/>
  </cols>
  <sheetData>
    <row r="2" spans="2:17" ht="15.6" x14ac:dyDescent="0.3">
      <c r="B2" s="2" t="s">
        <v>0</v>
      </c>
    </row>
    <row r="3" spans="2:17" x14ac:dyDescent="0.3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4.2" customHeight="1" x14ac:dyDescent="0.3"/>
    <row r="5" spans="2:17" ht="14.4" customHeight="1" x14ac:dyDescent="0.3">
      <c r="B5" s="7"/>
      <c r="C5" s="7"/>
      <c r="D5" s="38" t="s">
        <v>9</v>
      </c>
      <c r="E5" s="38"/>
      <c r="F5" s="38"/>
      <c r="G5" s="38"/>
      <c r="H5" s="38"/>
      <c r="I5" s="13"/>
      <c r="J5" s="7"/>
      <c r="K5" s="38" t="s">
        <v>10</v>
      </c>
      <c r="L5" s="38"/>
      <c r="M5" s="38"/>
      <c r="N5" s="7"/>
      <c r="O5" s="38" t="s">
        <v>17</v>
      </c>
      <c r="P5" s="38"/>
      <c r="Q5" s="38"/>
    </row>
    <row r="6" spans="2:17" ht="28.8" customHeight="1" x14ac:dyDescent="0.3">
      <c r="B6" s="8" t="s">
        <v>2</v>
      </c>
      <c r="C6" s="8" t="s">
        <v>3</v>
      </c>
      <c r="D6" s="9" t="s">
        <v>4</v>
      </c>
      <c r="E6" s="10" t="s">
        <v>5</v>
      </c>
      <c r="F6" s="10" t="s">
        <v>6</v>
      </c>
      <c r="G6" s="9" t="s">
        <v>7</v>
      </c>
      <c r="H6" s="10" t="s">
        <v>8</v>
      </c>
      <c r="I6" s="10"/>
      <c r="J6" s="9"/>
      <c r="K6" s="10" t="s">
        <v>11</v>
      </c>
      <c r="L6" s="9" t="s">
        <v>12</v>
      </c>
      <c r="M6" s="9" t="s">
        <v>13</v>
      </c>
      <c r="N6" s="9"/>
      <c r="O6" s="9" t="s">
        <v>14</v>
      </c>
      <c r="P6" s="9" t="s">
        <v>15</v>
      </c>
      <c r="Q6" s="9" t="s">
        <v>16</v>
      </c>
    </row>
    <row r="7" spans="2:17" ht="4.2" customHeight="1" x14ac:dyDescent="0.3"/>
    <row r="8" spans="2:17" x14ac:dyDescent="0.3">
      <c r="B8" s="20" t="str">
        <f>Data!C3</f>
        <v>TCS</v>
      </c>
      <c r="C8" s="14" t="s">
        <v>29</v>
      </c>
      <c r="D8" s="24">
        <f>Data!D3</f>
        <v>2581.5</v>
      </c>
      <c r="E8" s="25">
        <f>Data!E3</f>
        <v>361.81</v>
      </c>
      <c r="F8" s="24">
        <f>D8*E8</f>
        <v>934012.51500000001</v>
      </c>
      <c r="G8" s="24">
        <f>Data!I3</f>
        <v>-1625</v>
      </c>
      <c r="H8" s="24">
        <f>Data!J3</f>
        <v>932384.29</v>
      </c>
      <c r="I8" s="25"/>
      <c r="J8" s="25"/>
      <c r="K8" s="24">
        <f>Data!K3</f>
        <v>267021</v>
      </c>
      <c r="L8" s="24">
        <f>Data!L3</f>
        <v>72274</v>
      </c>
      <c r="M8" s="24">
        <f>Data!M3</f>
        <v>49454</v>
      </c>
      <c r="N8" s="25"/>
      <c r="O8" s="26">
        <f>$H8/$K8</f>
        <v>3.4918013564476205</v>
      </c>
      <c r="P8" s="26">
        <f>$H8/$L8</f>
        <v>12.900687522483882</v>
      </c>
      <c r="Q8" s="26">
        <f>$F8/$M8</f>
        <v>18.886490779310066</v>
      </c>
    </row>
    <row r="9" spans="2:17" ht="14.4" customHeight="1" x14ac:dyDescent="0.3">
      <c r="B9" s="21" t="str">
        <f>Data!C4</f>
        <v>Infosys</v>
      </c>
      <c r="C9" s="15" t="s">
        <v>51</v>
      </c>
      <c r="D9" s="27">
        <f>Data!D4</f>
        <v>1318.7</v>
      </c>
      <c r="E9" s="28">
        <f>Data!E4</f>
        <v>405.56</v>
      </c>
      <c r="F9" s="27">
        <f t="shared" ref="F9:F17" si="0">D9*E9</f>
        <v>534811.97200000007</v>
      </c>
      <c r="G9" s="27">
        <f>Data!I4</f>
        <v>-15659</v>
      </c>
      <c r="H9" s="27">
        <f>Data!J4</f>
        <v>523696.06</v>
      </c>
      <c r="I9" s="28"/>
      <c r="J9" s="28"/>
      <c r="K9" s="29">
        <f>Data!K4</f>
        <v>173173</v>
      </c>
      <c r="L9" s="29">
        <f>Data!L4</f>
        <v>44050</v>
      </c>
      <c r="M9" s="29">
        <f>Data!M4</f>
        <v>26750</v>
      </c>
      <c r="N9" s="28"/>
      <c r="O9" s="30">
        <f t="shared" ref="O9:O17" si="1">$H9/$K9</f>
        <v>3.0241207347565728</v>
      </c>
      <c r="P9" s="30">
        <f t="shared" ref="P9:P17" si="2">$H9/$L9</f>
        <v>11.888673325766174</v>
      </c>
      <c r="Q9" s="30">
        <f>$F9/$M9</f>
        <v>19.992970915887852</v>
      </c>
    </row>
    <row r="10" spans="2:17" x14ac:dyDescent="0.3">
      <c r="B10" s="21" t="str">
        <f>Data!C5</f>
        <v>HCL Technologies</v>
      </c>
      <c r="C10" s="15" t="s">
        <v>52</v>
      </c>
      <c r="D10" s="27">
        <f>Data!D5</f>
        <v>1442.3</v>
      </c>
      <c r="E10" s="28">
        <f>Data!E5</f>
        <v>271.37</v>
      </c>
      <c r="F10" s="27">
        <f t="shared" si="0"/>
        <v>391396.951</v>
      </c>
      <c r="G10" s="27">
        <f>Data!I5</f>
        <v>-14509</v>
      </c>
      <c r="H10" s="27">
        <f>Data!J5</f>
        <v>374423.92</v>
      </c>
      <c r="I10" s="28"/>
      <c r="J10" s="28"/>
      <c r="K10" s="29">
        <f>Data!K5</f>
        <v>126409</v>
      </c>
      <c r="L10" s="29">
        <f>Data!L5</f>
        <v>27223</v>
      </c>
      <c r="M10" s="29">
        <f>Data!M5</f>
        <v>17399</v>
      </c>
      <c r="N10" s="28"/>
      <c r="O10" s="30">
        <f t="shared" si="1"/>
        <v>2.9620036548030599</v>
      </c>
      <c r="P10" s="30">
        <f t="shared" si="2"/>
        <v>13.75395511148661</v>
      </c>
      <c r="Q10" s="30">
        <f>$F10/$M10</f>
        <v>22.495370481062132</v>
      </c>
    </row>
    <row r="11" spans="2:17" x14ac:dyDescent="0.3">
      <c r="B11" s="21" t="str">
        <f>Data!C6</f>
        <v>Wipro</v>
      </c>
      <c r="C11" s="15" t="s">
        <v>53</v>
      </c>
      <c r="D11" s="27">
        <f>Data!D6</f>
        <v>204.32</v>
      </c>
      <c r="E11" s="28">
        <f>Data!E6</f>
        <v>1048.8499999999999</v>
      </c>
      <c r="F11" s="27">
        <f t="shared" si="0"/>
        <v>214301.03199999998</v>
      </c>
      <c r="G11" s="27">
        <f>Data!I6</f>
        <v>9735.5</v>
      </c>
      <c r="H11" s="27">
        <f>Data!J6</f>
        <v>224036.84</v>
      </c>
      <c r="I11" s="28"/>
      <c r="J11" s="28"/>
      <c r="K11" s="29">
        <f>Data!K6</f>
        <v>92624</v>
      </c>
      <c r="L11" s="29">
        <f>Data!L6</f>
        <v>21710.6</v>
      </c>
      <c r="M11" s="29">
        <f>Data!M6</f>
        <v>13265.5</v>
      </c>
      <c r="N11" s="28"/>
      <c r="O11" s="30">
        <f t="shared" si="1"/>
        <v>2.4187774226982208</v>
      </c>
      <c r="P11" s="30">
        <f t="shared" si="2"/>
        <v>10.319237607435999</v>
      </c>
      <c r="Q11" s="30">
        <f t="shared" ref="Q11:Q17" si="3">$F11/$M11</f>
        <v>16.154764765745728</v>
      </c>
    </row>
    <row r="12" spans="2:17" x14ac:dyDescent="0.3">
      <c r="B12" s="21" t="str">
        <f>Data!C7</f>
        <v>Tech Mahindra</v>
      </c>
      <c r="C12" s="15" t="s">
        <v>56</v>
      </c>
      <c r="D12" s="27">
        <f>Data!D7</f>
        <v>1511.4</v>
      </c>
      <c r="E12" s="28">
        <f>Data!E7</f>
        <v>97.98</v>
      </c>
      <c r="F12" s="27">
        <f t="shared" si="0"/>
        <v>148086.97200000001</v>
      </c>
      <c r="G12" s="27">
        <f>Data!I7</f>
        <v>-2587.7999999999997</v>
      </c>
      <c r="H12" s="27">
        <f>Data!J7</f>
        <v>145761.01</v>
      </c>
      <c r="I12" s="28"/>
      <c r="J12" s="28"/>
      <c r="K12" s="29">
        <f>Data!K7</f>
        <v>55123.3</v>
      </c>
      <c r="L12" s="29">
        <f>Data!L7</f>
        <v>8443.2000000000007</v>
      </c>
      <c r="M12" s="29">
        <f>Data!M7</f>
        <v>4253</v>
      </c>
      <c r="N12" s="28"/>
      <c r="O12" s="30">
        <f t="shared" si="1"/>
        <v>2.6442722043128768</v>
      </c>
      <c r="P12" s="30">
        <f t="shared" si="2"/>
        <v>17.263716363464088</v>
      </c>
      <c r="Q12" s="30">
        <f t="shared" si="3"/>
        <v>34.819415001175642</v>
      </c>
    </row>
    <row r="13" spans="2:17" x14ac:dyDescent="0.3">
      <c r="B13" s="21" t="str">
        <f>Data!C8</f>
        <v>LTM</v>
      </c>
      <c r="C13" s="15" t="s">
        <v>57</v>
      </c>
      <c r="D13" s="27">
        <f>Data!D8</f>
        <v>4753.6000000000004</v>
      </c>
      <c r="E13" s="28">
        <f>Data!E8</f>
        <v>29.65</v>
      </c>
      <c r="F13" s="27">
        <f t="shared" si="0"/>
        <v>140944.24</v>
      </c>
      <c r="G13" s="27">
        <f>Data!I8</f>
        <v>-1205.5999999999999</v>
      </c>
      <c r="H13" s="27">
        <f>Data!J8</f>
        <v>140338.26</v>
      </c>
      <c r="I13" s="28"/>
      <c r="J13" s="28"/>
      <c r="K13" s="29">
        <f>Data!K8</f>
        <v>40787.599999999999</v>
      </c>
      <c r="L13" s="29">
        <f>Data!L8</f>
        <v>7759</v>
      </c>
      <c r="M13" s="29">
        <f>Data!M8</f>
        <v>4602</v>
      </c>
      <c r="N13" s="28"/>
      <c r="O13" s="30">
        <f t="shared" si="1"/>
        <v>3.4407089409526428</v>
      </c>
      <c r="P13" s="30">
        <f t="shared" si="2"/>
        <v>18.087158138935433</v>
      </c>
      <c r="Q13" s="30">
        <f t="shared" si="3"/>
        <v>30.626736201651454</v>
      </c>
    </row>
    <row r="14" spans="2:17" x14ac:dyDescent="0.3">
      <c r="B14" s="21" t="str">
        <f>Data!C9</f>
        <v>Persistent Systems</v>
      </c>
      <c r="C14" s="15" t="s">
        <v>58</v>
      </c>
      <c r="D14" s="27">
        <f>Data!D9</f>
        <v>5446.5</v>
      </c>
      <c r="E14" s="28">
        <f>Data!E9</f>
        <v>15.78</v>
      </c>
      <c r="F14" s="27">
        <f t="shared" si="0"/>
        <v>85945.76999999999</v>
      </c>
      <c r="G14" s="27">
        <f>Data!I9</f>
        <v>-621.53</v>
      </c>
      <c r="H14" s="27">
        <f>Data!J9</f>
        <v>85119.16</v>
      </c>
      <c r="I14" s="28"/>
      <c r="J14" s="28"/>
      <c r="K14" s="29">
        <f>Data!K9</f>
        <v>13934.63</v>
      </c>
      <c r="L14" s="29">
        <f>Data!L9</f>
        <v>2688.4</v>
      </c>
      <c r="M14" s="29">
        <f>Data!M9</f>
        <v>1400.16</v>
      </c>
      <c r="N14" s="28"/>
      <c r="O14" s="30">
        <f t="shared" si="1"/>
        <v>6.108462155076956</v>
      </c>
      <c r="P14" s="30">
        <f t="shared" si="2"/>
        <v>31.661642612706444</v>
      </c>
      <c r="Q14" s="30">
        <f t="shared" si="3"/>
        <v>61.382820534796011</v>
      </c>
    </row>
    <row r="15" spans="2:17" x14ac:dyDescent="0.3">
      <c r="B15" s="21" t="str">
        <f>Data!C10</f>
        <v>Oracle Fin.Serv.</v>
      </c>
      <c r="C15" s="15" t="s">
        <v>59</v>
      </c>
      <c r="D15" s="27">
        <f>Data!D10</f>
        <v>7992.5</v>
      </c>
      <c r="E15" s="28">
        <f>Data!E10</f>
        <v>8.6999999999999993</v>
      </c>
      <c r="F15" s="27">
        <f t="shared" si="0"/>
        <v>69534.75</v>
      </c>
      <c r="G15" s="27">
        <f>Data!I10</f>
        <v>-5917.4</v>
      </c>
      <c r="H15" s="27">
        <f>Data!J10</f>
        <v>64753.73</v>
      </c>
      <c r="I15" s="28"/>
      <c r="J15" s="28"/>
      <c r="K15" s="29">
        <f>Data!K10</f>
        <v>7323.2</v>
      </c>
      <c r="L15" s="29">
        <f>Data!L10</f>
        <v>3467</v>
      </c>
      <c r="M15" s="29">
        <f>Data!M10</f>
        <v>2379.6</v>
      </c>
      <c r="N15" s="28"/>
      <c r="O15" s="30">
        <f t="shared" si="1"/>
        <v>8.842272503823466</v>
      </c>
      <c r="P15" s="30">
        <f t="shared" si="2"/>
        <v>18.677164695702338</v>
      </c>
      <c r="Q15" s="30">
        <f t="shared" si="3"/>
        <v>29.221192637418053</v>
      </c>
    </row>
    <row r="16" spans="2:17" x14ac:dyDescent="0.3">
      <c r="B16" s="21" t="str">
        <f>Data!C11</f>
        <v>Mphasis</v>
      </c>
      <c r="C16" s="15" t="s">
        <v>54</v>
      </c>
      <c r="D16" s="27">
        <f>Data!D11</f>
        <v>2462.1999999999998</v>
      </c>
      <c r="E16" s="28">
        <f>Data!E11</f>
        <v>19.079999999999998</v>
      </c>
      <c r="F16" s="27">
        <f t="shared" si="0"/>
        <v>46978.775999999991</v>
      </c>
      <c r="G16" s="27">
        <f>Data!I11</f>
        <v>366.45000000000005</v>
      </c>
      <c r="H16" s="27">
        <f>Data!J11</f>
        <v>47346.67</v>
      </c>
      <c r="I16" s="28"/>
      <c r="J16" s="28"/>
      <c r="K16" s="29">
        <f>Data!K11</f>
        <v>15347.02</v>
      </c>
      <c r="L16" s="29">
        <f>Data!L11</f>
        <v>3119.65</v>
      </c>
      <c r="M16" s="29">
        <f>Data!M11</f>
        <v>1702.14</v>
      </c>
      <c r="N16" s="28"/>
      <c r="O16" s="30">
        <f t="shared" si="1"/>
        <v>3.085072541770324</v>
      </c>
      <c r="P16" s="30">
        <f t="shared" si="2"/>
        <v>15.176917282387446</v>
      </c>
      <c r="Q16" s="30">
        <f t="shared" si="3"/>
        <v>27.599830801226684</v>
      </c>
    </row>
    <row r="17" spans="2:17" x14ac:dyDescent="0.3">
      <c r="B17" s="21" t="str">
        <f>Data!C12</f>
        <v>Coforge</v>
      </c>
      <c r="C17" s="15" t="s">
        <v>55</v>
      </c>
      <c r="D17" s="27">
        <f>Data!D12</f>
        <v>1316.8</v>
      </c>
      <c r="E17" s="28">
        <f>Data!E12</f>
        <v>33.590000000000003</v>
      </c>
      <c r="F17" s="27">
        <f t="shared" si="0"/>
        <v>44231.312000000005</v>
      </c>
      <c r="G17" s="27">
        <f>Data!I12</f>
        <v>88.299999999999955</v>
      </c>
      <c r="H17" s="27">
        <f>Data!J12</f>
        <v>44665.91</v>
      </c>
      <c r="I17" s="28"/>
      <c r="J17" s="28"/>
      <c r="K17" s="29">
        <f>Data!K12</f>
        <v>15272.3</v>
      </c>
      <c r="L17" s="29">
        <f>Data!L12</f>
        <v>2568.3000000000002</v>
      </c>
      <c r="M17" s="29">
        <f>Data!M12</f>
        <v>936.1</v>
      </c>
      <c r="N17" s="28"/>
      <c r="O17" s="30">
        <f t="shared" si="1"/>
        <v>2.9246354511108352</v>
      </c>
      <c r="P17" s="30">
        <f t="shared" si="2"/>
        <v>17.391235447572324</v>
      </c>
      <c r="Q17" s="30">
        <f t="shared" si="3"/>
        <v>47.250627069757506</v>
      </c>
    </row>
    <row r="18" spans="2:17" x14ac:dyDescent="0.3">
      <c r="B18" s="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2:17" x14ac:dyDescent="0.3">
      <c r="B19" s="22" t="s">
        <v>39</v>
      </c>
      <c r="C19" s="17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>
        <f>MAX(O8:O17)</f>
        <v>8.842272503823466</v>
      </c>
      <c r="P19" s="32">
        <f t="shared" ref="P19:Q19" si="4">MAX(P8:P17)</f>
        <v>31.661642612706444</v>
      </c>
      <c r="Q19" s="32">
        <f t="shared" si="4"/>
        <v>61.382820534796011</v>
      </c>
    </row>
    <row r="20" spans="2:17" x14ac:dyDescent="0.3">
      <c r="B20" s="22" t="s">
        <v>40</v>
      </c>
      <c r="C20" s="17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>
        <f>QUARTILE(O8:O17,3)</f>
        <v>3.479028252573876</v>
      </c>
      <c r="P20" s="32">
        <f t="shared" ref="P20:Q20" si="5">QUARTILE(P8:P17,3)</f>
        <v>17.913177466094655</v>
      </c>
      <c r="Q20" s="32">
        <f t="shared" si="5"/>
        <v>33.771245301294599</v>
      </c>
    </row>
    <row r="21" spans="2:17" x14ac:dyDescent="0.3">
      <c r="B21" s="23" t="s">
        <v>41</v>
      </c>
      <c r="C21" s="18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>
        <f>AVERAGE(O8:O17)</f>
        <v>3.8942126965752579</v>
      </c>
      <c r="P21" s="34">
        <f t="shared" ref="P21:Q21" si="6">AVERAGE(P8:P17)</f>
        <v>16.712038810794073</v>
      </c>
      <c r="Q21" s="34">
        <f t="shared" si="6"/>
        <v>30.84302191880311</v>
      </c>
    </row>
    <row r="22" spans="2:17" x14ac:dyDescent="0.3">
      <c r="B22" s="23" t="s">
        <v>42</v>
      </c>
      <c r="C22" s="18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>
        <f>MEDIAN(O8:O17)</f>
        <v>3.0545966382634484</v>
      </c>
      <c r="P22" s="34">
        <f t="shared" ref="P22:Q22" si="7">MEDIAN(P8:P17)</f>
        <v>16.220316822925767</v>
      </c>
      <c r="Q22" s="34">
        <f t="shared" si="7"/>
        <v>28.410511719322368</v>
      </c>
    </row>
    <row r="23" spans="2:17" x14ac:dyDescent="0.3">
      <c r="B23" s="22" t="s">
        <v>43</v>
      </c>
      <c r="C23" s="17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2">
        <f>QUARTILE(O8:O17,1)</f>
        <v>2.9339775020338914</v>
      </c>
      <c r="P23" s="32">
        <f t="shared" ref="P23:Q23" si="8">QUARTILE(P8:P17,1)</f>
        <v>13.114004419734563</v>
      </c>
      <c r="Q23" s="32">
        <f t="shared" si="8"/>
        <v>20.61857080718142</v>
      </c>
    </row>
    <row r="24" spans="2:17" x14ac:dyDescent="0.3">
      <c r="B24" s="22" t="s">
        <v>44</v>
      </c>
      <c r="C24" s="17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>
        <f>MIN(O8:O17)</f>
        <v>2.4187774226982208</v>
      </c>
      <c r="P24" s="32">
        <f t="shared" ref="P24:Q24" si="9">MIN(P8:P17)</f>
        <v>10.319237607435999</v>
      </c>
      <c r="Q24" s="32">
        <f t="shared" si="9"/>
        <v>16.154764765745728</v>
      </c>
    </row>
    <row r="26" spans="2:17" x14ac:dyDescent="0.3">
      <c r="B26" s="8" t="s">
        <v>45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9" t="s">
        <v>14</v>
      </c>
      <c r="P26" s="9" t="s">
        <v>15</v>
      </c>
      <c r="Q26" s="9" t="s">
        <v>16</v>
      </c>
    </row>
    <row r="27" spans="2:17" ht="4.2" customHeight="1" x14ac:dyDescent="0.3"/>
    <row r="28" spans="2:17" x14ac:dyDescent="0.3">
      <c r="B28" s="16" t="s">
        <v>46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37">
        <f>O22*K8</f>
        <v>815641.44894574431</v>
      </c>
      <c r="P28" s="37">
        <f>P22*L8</f>
        <v>1172307.178060137</v>
      </c>
      <c r="Q28" s="37">
        <f>Q30+Q29</f>
        <v>1403388.4465673685</v>
      </c>
    </row>
    <row r="29" spans="2:17" x14ac:dyDescent="0.3">
      <c r="B29" s="16" t="s">
        <v>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37">
        <f>$G$8</f>
        <v>-1625</v>
      </c>
      <c r="P29" s="37">
        <f t="shared" ref="P29:Q29" si="10">$G$8</f>
        <v>-1625</v>
      </c>
      <c r="Q29" s="37">
        <f t="shared" si="10"/>
        <v>-1625</v>
      </c>
    </row>
    <row r="30" spans="2:17" x14ac:dyDescent="0.3">
      <c r="B30" s="16" t="s">
        <v>47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37">
        <f>O28+O29</f>
        <v>814016.44894574431</v>
      </c>
      <c r="P30" s="37">
        <f t="shared" ref="P30" si="11">P28+P29</f>
        <v>1170682.178060137</v>
      </c>
      <c r="Q30" s="37">
        <f>Q22*M8</f>
        <v>1405013.4465673685</v>
      </c>
    </row>
    <row r="31" spans="2:17" x14ac:dyDescent="0.3">
      <c r="B31" s="16" t="s">
        <v>48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>
        <f>$E$8</f>
        <v>361.81</v>
      </c>
      <c r="P31" s="16">
        <f t="shared" ref="P31:Q31" si="12">$E$8</f>
        <v>361.81</v>
      </c>
      <c r="Q31" s="16">
        <f t="shared" si="12"/>
        <v>361.81</v>
      </c>
    </row>
    <row r="32" spans="2:17" ht="4.2" customHeight="1" x14ac:dyDescent="0.3"/>
    <row r="33" spans="2:17" x14ac:dyDescent="0.3">
      <c r="B33" s="35" t="s">
        <v>49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6">
        <f>O30/O31</f>
        <v>2249.8450815227447</v>
      </c>
      <c r="P33" s="36">
        <f t="shared" ref="P33:Q33" si="13">P30/P31</f>
        <v>3235.6269259007131</v>
      </c>
      <c r="Q33" s="36">
        <f t="shared" si="13"/>
        <v>3883.2908061340718</v>
      </c>
    </row>
    <row r="34" spans="2:17" ht="4.2" customHeight="1" x14ac:dyDescent="0.3"/>
    <row r="35" spans="2:17" x14ac:dyDescent="0.3">
      <c r="B35" s="1" t="s">
        <v>50</v>
      </c>
      <c r="O35" t="str">
        <f>IF(O33&gt;$D$8,"Undervalued","Overvalued")</f>
        <v>Overvalued</v>
      </c>
      <c r="P35" t="str">
        <f t="shared" ref="P35:Q35" si="14">IF(P33&gt;$D$8,"Undervalued","Overvalued")</f>
        <v>Undervalued</v>
      </c>
      <c r="Q35" t="str">
        <f t="shared" si="14"/>
        <v>Undervalued</v>
      </c>
    </row>
  </sheetData>
  <mergeCells count="3">
    <mergeCell ref="D5:H5"/>
    <mergeCell ref="K5:M5"/>
    <mergeCell ref="O5:Q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1007-9BEB-4F4B-8C74-51FA9C9929D1}">
  <dimension ref="B2:M13"/>
  <sheetViews>
    <sheetView showGridLines="0" workbookViewId="0">
      <selection activeCell="C12" sqref="C12"/>
    </sheetView>
  </sheetViews>
  <sheetFormatPr defaultRowHeight="14.4" x14ac:dyDescent="0.3"/>
  <cols>
    <col min="1" max="1" width="1.88671875" customWidth="1"/>
    <col min="2" max="2" width="5.44140625" bestFit="1" customWidth="1"/>
    <col min="3" max="3" width="16.109375" bestFit="1" customWidth="1"/>
    <col min="4" max="4" width="7.6640625" bestFit="1" customWidth="1"/>
    <col min="5" max="5" width="15.6640625" bestFit="1" customWidth="1"/>
    <col min="6" max="6" width="13.6640625" bestFit="1" customWidth="1"/>
    <col min="7" max="7" width="10.109375" bestFit="1" customWidth="1"/>
    <col min="8" max="8" width="13.6640625" bestFit="1" customWidth="1"/>
    <col min="9" max="9" width="13.6640625" customWidth="1"/>
    <col min="10" max="10" width="10" bestFit="1" customWidth="1"/>
    <col min="11" max="11" width="10.33203125" bestFit="1" customWidth="1"/>
    <col min="12" max="12" width="12.21875" bestFit="1" customWidth="1"/>
    <col min="13" max="13" width="12.109375" bestFit="1" customWidth="1"/>
  </cols>
  <sheetData>
    <row r="2" spans="2:13" x14ac:dyDescent="0.3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7</v>
      </c>
      <c r="J2" t="s">
        <v>25</v>
      </c>
      <c r="K2" t="s">
        <v>26</v>
      </c>
      <c r="L2" t="s">
        <v>27</v>
      </c>
      <c r="M2" t="s">
        <v>28</v>
      </c>
    </row>
    <row r="3" spans="2:13" x14ac:dyDescent="0.3">
      <c r="B3">
        <v>1</v>
      </c>
      <c r="C3" t="s">
        <v>29</v>
      </c>
      <c r="D3">
        <v>2581.5</v>
      </c>
      <c r="E3">
        <v>361.81</v>
      </c>
      <c r="F3" s="11">
        <f>D3*E3</f>
        <v>934012.51500000001</v>
      </c>
      <c r="G3">
        <v>11283</v>
      </c>
      <c r="H3">
        <v>12908</v>
      </c>
      <c r="I3" s="12">
        <f>G3-H3</f>
        <v>-1625</v>
      </c>
      <c r="J3">
        <v>932384.29</v>
      </c>
      <c r="K3">
        <v>267021</v>
      </c>
      <c r="L3" s="11">
        <v>72274</v>
      </c>
      <c r="M3">
        <v>49454</v>
      </c>
    </row>
    <row r="4" spans="2:13" x14ac:dyDescent="0.3">
      <c r="B4">
        <v>2</v>
      </c>
      <c r="C4" t="s">
        <v>30</v>
      </c>
      <c r="D4">
        <v>1318.7</v>
      </c>
      <c r="E4">
        <v>405.56</v>
      </c>
      <c r="F4" s="11">
        <f t="shared" ref="F4:F12" si="0">D4*E4</f>
        <v>534811.97200000007</v>
      </c>
      <c r="G4">
        <v>8796</v>
      </c>
      <c r="H4">
        <v>24455</v>
      </c>
      <c r="I4" s="12">
        <f t="shared" ref="I4:I12" si="1">G4-H4</f>
        <v>-15659</v>
      </c>
      <c r="J4">
        <v>523696.06</v>
      </c>
      <c r="K4">
        <v>173173</v>
      </c>
      <c r="L4" s="11">
        <v>44050</v>
      </c>
      <c r="M4">
        <v>26750</v>
      </c>
    </row>
    <row r="5" spans="2:13" x14ac:dyDescent="0.3">
      <c r="B5">
        <v>3</v>
      </c>
      <c r="C5" t="s">
        <v>31</v>
      </c>
      <c r="D5">
        <v>1442.3</v>
      </c>
      <c r="E5">
        <v>271.37</v>
      </c>
      <c r="F5" s="11">
        <f t="shared" si="0"/>
        <v>391396.951</v>
      </c>
      <c r="G5">
        <v>6780</v>
      </c>
      <c r="H5">
        <v>21289</v>
      </c>
      <c r="I5" s="12">
        <f t="shared" si="1"/>
        <v>-14509</v>
      </c>
      <c r="J5">
        <v>374423.92</v>
      </c>
      <c r="K5">
        <v>126409</v>
      </c>
      <c r="L5" s="11">
        <v>27223</v>
      </c>
      <c r="M5">
        <v>17399</v>
      </c>
    </row>
    <row r="6" spans="2:13" x14ac:dyDescent="0.3">
      <c r="B6">
        <v>4</v>
      </c>
      <c r="C6" t="s">
        <v>32</v>
      </c>
      <c r="D6">
        <v>204.32</v>
      </c>
      <c r="E6">
        <v>1048.8499999999999</v>
      </c>
      <c r="F6" s="11">
        <f t="shared" si="0"/>
        <v>214301.03199999998</v>
      </c>
      <c r="G6">
        <v>20291</v>
      </c>
      <c r="H6">
        <v>10555.5</v>
      </c>
      <c r="I6" s="12">
        <f t="shared" si="1"/>
        <v>9735.5</v>
      </c>
      <c r="J6">
        <v>224036.84</v>
      </c>
      <c r="K6">
        <v>92624</v>
      </c>
      <c r="L6" s="11">
        <v>21710.6</v>
      </c>
      <c r="M6">
        <v>13265.5</v>
      </c>
    </row>
    <row r="7" spans="2:13" x14ac:dyDescent="0.3">
      <c r="B7">
        <v>5</v>
      </c>
      <c r="C7" t="s">
        <v>33</v>
      </c>
      <c r="D7">
        <v>1511.4</v>
      </c>
      <c r="E7">
        <v>97.98</v>
      </c>
      <c r="F7" s="11">
        <f t="shared" si="0"/>
        <v>148086.97200000001</v>
      </c>
      <c r="G7">
        <v>1954.4</v>
      </c>
      <c r="H7">
        <v>4542.2</v>
      </c>
      <c r="I7" s="12">
        <f t="shared" si="1"/>
        <v>-2587.7999999999997</v>
      </c>
      <c r="J7">
        <v>145761.01</v>
      </c>
      <c r="K7">
        <v>55123.3</v>
      </c>
      <c r="L7" s="11">
        <v>8443.2000000000007</v>
      </c>
      <c r="M7">
        <v>4253</v>
      </c>
    </row>
    <row r="8" spans="2:13" x14ac:dyDescent="0.3">
      <c r="B8">
        <v>6</v>
      </c>
      <c r="C8" t="s">
        <v>34</v>
      </c>
      <c r="D8">
        <v>4753.6000000000004</v>
      </c>
      <c r="E8">
        <v>29.65</v>
      </c>
      <c r="F8" s="11">
        <f t="shared" si="0"/>
        <v>140944.24</v>
      </c>
      <c r="G8">
        <v>2382.6</v>
      </c>
      <c r="H8">
        <v>3588.2</v>
      </c>
      <c r="I8" s="12">
        <f t="shared" si="1"/>
        <v>-1205.5999999999999</v>
      </c>
      <c r="J8">
        <v>140338.26</v>
      </c>
      <c r="K8">
        <v>40787.599999999999</v>
      </c>
      <c r="L8" s="11">
        <v>7759</v>
      </c>
      <c r="M8">
        <v>4602</v>
      </c>
    </row>
    <row r="9" spans="2:13" x14ac:dyDescent="0.3">
      <c r="B9">
        <v>7</v>
      </c>
      <c r="C9" t="s">
        <v>35</v>
      </c>
      <c r="D9">
        <v>5446.5</v>
      </c>
      <c r="E9">
        <v>15.78</v>
      </c>
      <c r="F9" s="11">
        <f t="shared" si="0"/>
        <v>85945.76999999999</v>
      </c>
      <c r="G9">
        <v>403.94</v>
      </c>
      <c r="H9">
        <v>1025.47</v>
      </c>
      <c r="I9" s="12">
        <f t="shared" si="1"/>
        <v>-621.53</v>
      </c>
      <c r="J9">
        <v>85119.16</v>
      </c>
      <c r="K9">
        <v>13934.63</v>
      </c>
      <c r="L9" s="11">
        <v>2688.4</v>
      </c>
      <c r="M9">
        <v>1400.16</v>
      </c>
    </row>
    <row r="10" spans="2:13" x14ac:dyDescent="0.3">
      <c r="B10">
        <v>8</v>
      </c>
      <c r="C10" t="s">
        <v>36</v>
      </c>
      <c r="D10">
        <v>7992.5</v>
      </c>
      <c r="E10">
        <v>8.6999999999999993</v>
      </c>
      <c r="F10" s="11">
        <f t="shared" si="0"/>
        <v>69534.75</v>
      </c>
      <c r="G10">
        <v>34</v>
      </c>
      <c r="H10">
        <v>5951.4</v>
      </c>
      <c r="I10" s="12">
        <f t="shared" si="1"/>
        <v>-5917.4</v>
      </c>
      <c r="J10">
        <v>64753.73</v>
      </c>
      <c r="K10">
        <v>7323.2</v>
      </c>
      <c r="L10" s="11">
        <v>3467</v>
      </c>
      <c r="M10">
        <v>2379.6</v>
      </c>
    </row>
    <row r="11" spans="2:13" x14ac:dyDescent="0.3">
      <c r="B11">
        <v>9</v>
      </c>
      <c r="C11" t="s">
        <v>37</v>
      </c>
      <c r="D11">
        <v>2462.1999999999998</v>
      </c>
      <c r="E11">
        <v>19.079999999999998</v>
      </c>
      <c r="F11" s="11">
        <f t="shared" si="0"/>
        <v>46978.775999999991</v>
      </c>
      <c r="G11">
        <v>1979.03</v>
      </c>
      <c r="H11">
        <v>1612.58</v>
      </c>
      <c r="I11" s="12">
        <f t="shared" si="1"/>
        <v>366.45000000000005</v>
      </c>
      <c r="J11">
        <v>47346.67</v>
      </c>
      <c r="K11">
        <v>15347.02</v>
      </c>
      <c r="L11" s="11">
        <v>3119.65</v>
      </c>
      <c r="M11">
        <v>1702.14</v>
      </c>
    </row>
    <row r="12" spans="2:13" x14ac:dyDescent="0.3">
      <c r="B12">
        <v>10</v>
      </c>
      <c r="C12" t="s">
        <v>38</v>
      </c>
      <c r="D12">
        <v>1316.8</v>
      </c>
      <c r="E12">
        <v>33.590000000000003</v>
      </c>
      <c r="F12" s="11">
        <f t="shared" si="0"/>
        <v>44231.312000000005</v>
      </c>
      <c r="G12">
        <v>971.5</v>
      </c>
      <c r="H12">
        <v>883.2</v>
      </c>
      <c r="I12" s="12">
        <f t="shared" si="1"/>
        <v>88.299999999999955</v>
      </c>
      <c r="J12">
        <v>44665.91</v>
      </c>
      <c r="K12">
        <v>15272.3</v>
      </c>
      <c r="L12" s="11">
        <v>2568.3000000000002</v>
      </c>
      <c r="M12">
        <v>936.1</v>
      </c>
    </row>
    <row r="13" spans="2:13" x14ac:dyDescent="0.3">
      <c r="F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Comps_Val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Arjit Uttam</dc:creator>
  <cp:lastModifiedBy>Arjit Uttam</cp:lastModifiedBy>
  <dcterms:created xsi:type="dcterms:W3CDTF">2026-04-19T18:08:22Z</dcterms:created>
  <dcterms:modified xsi:type="dcterms:W3CDTF">2026-05-05T21:50:09Z</dcterms:modified>
</cp:coreProperties>
</file>