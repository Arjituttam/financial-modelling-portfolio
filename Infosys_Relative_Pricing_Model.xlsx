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JIT\Downloads\"/>
    </mc:Choice>
  </mc:AlternateContent>
  <xr:revisionPtr revIDLastSave="0" documentId="13_ncr:1_{CE40020D-F885-4753-BD67-37CC0AF5AD78}" xr6:coauthVersionLast="47" xr6:coauthVersionMax="47" xr10:uidLastSave="{00000000-0000-0000-0000-000000000000}"/>
  <bookViews>
    <workbookView xWindow="-108" yWindow="-108" windowWidth="23256" windowHeight="12576" xr2:uid="{56887048-1BD4-4900-AD08-3FFFAA367860}"/>
  </bookViews>
  <sheets>
    <sheet name="Comps_Val" sheetId="1" r:id="rId1"/>
    <sheet name="Data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L8" i="1"/>
  <c r="K8" i="1"/>
  <c r="H8" i="1"/>
  <c r="G8" i="1"/>
  <c r="O29" i="1" s="1"/>
  <c r="E8" i="1"/>
  <c r="Q31" i="1" s="1"/>
  <c r="D8" i="1"/>
  <c r="F8" i="1" s="1"/>
  <c r="Q8" i="1" s="1"/>
  <c r="B8" i="1"/>
  <c r="M17" i="1"/>
  <c r="L17" i="1"/>
  <c r="K17" i="1"/>
  <c r="M16" i="1"/>
  <c r="L16" i="1"/>
  <c r="K16" i="1"/>
  <c r="M15" i="1"/>
  <c r="L15" i="1"/>
  <c r="K15" i="1"/>
  <c r="M14" i="1"/>
  <c r="L14" i="1"/>
  <c r="K14" i="1"/>
  <c r="M13" i="1"/>
  <c r="L13" i="1"/>
  <c r="K13" i="1"/>
  <c r="M12" i="1"/>
  <c r="L12" i="1"/>
  <c r="K12" i="1"/>
  <c r="M11" i="1"/>
  <c r="L11" i="1"/>
  <c r="K11" i="1"/>
  <c r="M10" i="1"/>
  <c r="L10" i="1"/>
  <c r="K10" i="1"/>
  <c r="M9" i="1"/>
  <c r="L9" i="1"/>
  <c r="K9" i="1"/>
  <c r="H17" i="1"/>
  <c r="P17" i="1" s="1"/>
  <c r="H16" i="1"/>
  <c r="P16" i="1" s="1"/>
  <c r="H15" i="1"/>
  <c r="H14" i="1"/>
  <c r="H13" i="1"/>
  <c r="P13" i="1" s="1"/>
  <c r="H12" i="1"/>
  <c r="P12" i="1" s="1"/>
  <c r="H11" i="1"/>
  <c r="H10" i="1"/>
  <c r="P10" i="1" s="1"/>
  <c r="H9" i="1"/>
  <c r="J3" i="2"/>
  <c r="I3" i="2"/>
  <c r="G17" i="1"/>
  <c r="G16" i="1"/>
  <c r="G15" i="1"/>
  <c r="G14" i="1"/>
  <c r="G13" i="1"/>
  <c r="G12" i="1"/>
  <c r="G11" i="1"/>
  <c r="G10" i="1"/>
  <c r="G9" i="1"/>
  <c r="I12" i="2"/>
  <c r="I11" i="2"/>
  <c r="I10" i="2"/>
  <c r="I9" i="2"/>
  <c r="I8" i="2"/>
  <c r="I7" i="2"/>
  <c r="I6" i="2"/>
  <c r="I5" i="2"/>
  <c r="I4" i="2"/>
  <c r="E17" i="1"/>
  <c r="D17" i="1"/>
  <c r="E16" i="1"/>
  <c r="D16" i="1"/>
  <c r="F16" i="1" s="1"/>
  <c r="E15" i="1"/>
  <c r="D15" i="1"/>
  <c r="F15" i="1" s="1"/>
  <c r="Q15" i="1" s="1"/>
  <c r="E14" i="1"/>
  <c r="D14" i="1"/>
  <c r="E13" i="1"/>
  <c r="D13" i="1"/>
  <c r="F13" i="1" s="1"/>
  <c r="E12" i="1"/>
  <c r="D12" i="1"/>
  <c r="E11" i="1"/>
  <c r="D11" i="1"/>
  <c r="E10" i="1"/>
  <c r="D10" i="1"/>
  <c r="F10" i="1" s="1"/>
  <c r="Q10" i="1" s="1"/>
  <c r="E9" i="1"/>
  <c r="D9" i="1"/>
  <c r="F9" i="1" s="1"/>
  <c r="Q9" i="1" s="1"/>
  <c r="B17" i="1"/>
  <c r="B16" i="1"/>
  <c r="B15" i="1"/>
  <c r="B14" i="1"/>
  <c r="B13" i="1"/>
  <c r="B12" i="1"/>
  <c r="B11" i="1"/>
  <c r="B10" i="1"/>
  <c r="B9" i="1"/>
  <c r="F12" i="2"/>
  <c r="J12" i="2" s="1"/>
  <c r="F11" i="2"/>
  <c r="J11" i="2" s="1"/>
  <c r="F10" i="2"/>
  <c r="J10" i="2" s="1"/>
  <c r="F9" i="2"/>
  <c r="J9" i="2" s="1"/>
  <c r="F8" i="2"/>
  <c r="J8" i="2" s="1"/>
  <c r="F7" i="2"/>
  <c r="J7" i="2" s="1"/>
  <c r="F6" i="2"/>
  <c r="J6" i="2" s="1"/>
  <c r="F5" i="2"/>
  <c r="J5" i="2" s="1"/>
  <c r="F4" i="2"/>
  <c r="J4" i="2" s="1"/>
  <c r="F3" i="2"/>
  <c r="P9" i="1" l="1"/>
  <c r="P11" i="1"/>
  <c r="Q16" i="1"/>
  <c r="P8" i="1"/>
  <c r="P14" i="1"/>
  <c r="Q13" i="1"/>
  <c r="P15" i="1"/>
  <c r="P21" i="1" s="1"/>
  <c r="O10" i="1"/>
  <c r="O17" i="1"/>
  <c r="P19" i="1"/>
  <c r="P24" i="1"/>
  <c r="P20" i="1"/>
  <c r="P23" i="1"/>
  <c r="P22" i="1"/>
  <c r="P28" i="1" s="1"/>
  <c r="Q20" i="1"/>
  <c r="P29" i="1"/>
  <c r="O11" i="1"/>
  <c r="O9" i="1"/>
  <c r="Q29" i="1"/>
  <c r="O12" i="1"/>
  <c r="O31" i="1"/>
  <c r="O13" i="1"/>
  <c r="O14" i="1"/>
  <c r="P31" i="1"/>
  <c r="O15" i="1"/>
  <c r="O8" i="1"/>
  <c r="O16" i="1"/>
  <c r="F11" i="1"/>
  <c r="Q11" i="1" s="1"/>
  <c r="F17" i="1"/>
  <c r="Q17" i="1" s="1"/>
  <c r="F14" i="1"/>
  <c r="Q14" i="1" s="1"/>
  <c r="F12" i="1"/>
  <c r="Q12" i="1" s="1"/>
  <c r="Q19" i="1" s="1"/>
  <c r="O24" i="1" l="1"/>
  <c r="O23" i="1"/>
  <c r="O22" i="1"/>
  <c r="O28" i="1" s="1"/>
  <c r="O30" i="1" s="1"/>
  <c r="O33" i="1" s="1"/>
  <c r="O36" i="1" s="1"/>
  <c r="O21" i="1"/>
  <c r="O20" i="1"/>
  <c r="O19" i="1"/>
  <c r="Q21" i="1"/>
  <c r="Q22" i="1"/>
  <c r="Q30" i="1" s="1"/>
  <c r="Q23" i="1"/>
  <c r="Q24" i="1"/>
  <c r="P30" i="1"/>
  <c r="P33" i="1" s="1"/>
  <c r="P36" i="1" s="1"/>
  <c r="Q33" i="1" l="1"/>
  <c r="Q36" i="1" s="1"/>
  <c r="Q28" i="1"/>
</calcChain>
</file>

<file path=xl/sharedStrings.xml><?xml version="1.0" encoding="utf-8"?>
<sst xmlns="http://schemas.openxmlformats.org/spreadsheetml/2006/main" count="57" uniqueCount="51">
  <si>
    <t>Comparable Company Valuation</t>
  </si>
  <si>
    <t xml:space="preserve">Company </t>
  </si>
  <si>
    <t>Ticker</t>
  </si>
  <si>
    <t>Share Price</t>
  </si>
  <si>
    <t>Share Outstanding</t>
  </si>
  <si>
    <t>Equity Value</t>
  </si>
  <si>
    <t>Net Debt</t>
  </si>
  <si>
    <t>Enterprise Value</t>
  </si>
  <si>
    <t>Market Data</t>
  </si>
  <si>
    <t>Revenue</t>
  </si>
  <si>
    <t>EBITDA</t>
  </si>
  <si>
    <t>Net Income</t>
  </si>
  <si>
    <t>Valuation</t>
  </si>
  <si>
    <t>Financials</t>
  </si>
  <si>
    <t>S.No.</t>
  </si>
  <si>
    <t>Name</t>
  </si>
  <si>
    <t>CMP Rs.</t>
  </si>
  <si>
    <t>No. Eq. Shares Cr.</t>
  </si>
  <si>
    <t>Debt Rs.Cr.</t>
  </si>
  <si>
    <t>Cash End Rs.Cr.</t>
  </si>
  <si>
    <t>Sales Rs.Cr.</t>
  </si>
  <si>
    <t>NP 12M Rs.Cr.</t>
  </si>
  <si>
    <t>TCS</t>
  </si>
  <si>
    <t>Infosys</t>
  </si>
  <si>
    <t>HCL Technologies</t>
  </si>
  <si>
    <t>Wipro</t>
  </si>
  <si>
    <t>Tech Mahindra</t>
  </si>
  <si>
    <t>LTIMindtree</t>
  </si>
  <si>
    <t>Persistent Systems</t>
  </si>
  <si>
    <t>Mphasis</t>
  </si>
  <si>
    <t>Coforge</t>
  </si>
  <si>
    <t>Tata Elxsi</t>
  </si>
  <si>
    <t>Market Cap</t>
  </si>
  <si>
    <t>EV</t>
  </si>
  <si>
    <t xml:space="preserve"> </t>
  </si>
  <si>
    <t>EV/Revenue</t>
  </si>
  <si>
    <t>EV/EBITDA</t>
  </si>
  <si>
    <t>P/E</t>
  </si>
  <si>
    <t>High</t>
  </si>
  <si>
    <t>75th Percentile</t>
  </si>
  <si>
    <t>Average</t>
  </si>
  <si>
    <t>Median</t>
  </si>
  <si>
    <t>25th Percentile</t>
  </si>
  <si>
    <t>Low</t>
  </si>
  <si>
    <t>Cipla Comparable Valuation</t>
  </si>
  <si>
    <t>Implied Enterprise Value</t>
  </si>
  <si>
    <t>Implied Market Value</t>
  </si>
  <si>
    <t>Shares Outstanding</t>
  </si>
  <si>
    <t>Implied Value per Share</t>
  </si>
  <si>
    <t>Source: The Valuation School, Screener.in</t>
  </si>
  <si>
    <t>Amount in crores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</si>
</sst>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x"/>
  </numFmts>
  <fonts count="7" x14ac:knownFonts="1"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11"/>
      <color rgb="FF00B0F0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i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B0F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/>
      <top style="hair">
        <color rgb="FF00B0F0"/>
      </top>
      <bottom style="hair">
        <color rgb="FF00B0F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2" fillId="2" borderId="0" xfId="0" applyFont="1" applyFill="1"/>
    <xf numFmtId="0" fontId="1" fillId="2" borderId="0" xfId="0" applyFont="1" applyFill="1"/>
    <xf numFmtId="0" fontId="0" fillId="0" borderId="0" xfId="0" applyAlignment="1">
      <alignment wrapText="1"/>
    </xf>
    <xf numFmtId="2" fontId="0" fillId="0" borderId="0" xfId="0" applyNumberFormat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 wrapText="1"/>
    </xf>
    <xf numFmtId="0" fontId="1" fillId="2" borderId="0" xfId="0" applyFont="1" applyFill="1" applyAlignment="1">
      <alignment horizontal="right"/>
    </xf>
    <xf numFmtId="2" fontId="1" fillId="3" borderId="0" xfId="0" applyNumberFormat="1" applyFont="1" applyFill="1" applyAlignment="1">
      <alignment horizontal="left"/>
    </xf>
    <xf numFmtId="2" fontId="1" fillId="3" borderId="0" xfId="0" applyNumberFormat="1" applyFont="1" applyFill="1" applyAlignment="1">
      <alignment horizontal="right" wrapText="1"/>
    </xf>
    <xf numFmtId="2" fontId="1" fillId="3" borderId="0" xfId="0" applyNumberFormat="1" applyFont="1" applyFill="1" applyAlignment="1">
      <alignment horizontal="right"/>
    </xf>
    <xf numFmtId="0" fontId="0" fillId="4" borderId="3" xfId="0" applyFill="1" applyBorder="1" applyAlignment="1">
      <alignment horizontal="left"/>
    </xf>
    <xf numFmtId="0" fontId="0" fillId="4" borderId="3" xfId="0" applyFill="1" applyBorder="1" applyAlignment="1">
      <alignment horizontal="right" wrapTex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right"/>
    </xf>
    <xf numFmtId="0" fontId="3" fillId="0" borderId="1" xfId="0" applyFont="1" applyBorder="1"/>
    <xf numFmtId="164" fontId="0" fillId="4" borderId="3" xfId="0" applyNumberFormat="1" applyFill="1" applyBorder="1" applyAlignment="1">
      <alignment horizontal="right" wrapText="1"/>
    </xf>
    <xf numFmtId="164" fontId="0" fillId="3" borderId="3" xfId="0" applyNumberFormat="1" applyFill="1" applyBorder="1" applyAlignment="1">
      <alignment horizontal="right" wrapText="1"/>
    </xf>
    <xf numFmtId="1" fontId="0" fillId="4" borderId="3" xfId="0" applyNumberFormat="1" applyFill="1" applyBorder="1" applyAlignment="1">
      <alignment horizontal="right" wrapText="1"/>
    </xf>
    <xf numFmtId="1" fontId="0" fillId="4" borderId="3" xfId="0" applyNumberFormat="1" applyFill="1" applyBorder="1" applyAlignment="1">
      <alignment horizontal="right"/>
    </xf>
    <xf numFmtId="1" fontId="0" fillId="0" borderId="3" xfId="0" applyNumberFormat="1" applyBorder="1" applyAlignment="1">
      <alignment horizontal="right"/>
    </xf>
    <xf numFmtId="2" fontId="0" fillId="4" borderId="3" xfId="0" applyNumberFormat="1" applyFill="1" applyBorder="1" applyAlignment="1">
      <alignment horizontal="right" wrapText="1"/>
    </xf>
    <xf numFmtId="2" fontId="0" fillId="0" borderId="3" xfId="0" applyNumberFormat="1" applyBorder="1" applyAlignment="1">
      <alignment horizontal="right"/>
    </xf>
    <xf numFmtId="0" fontId="4" fillId="0" borderId="3" xfId="0" applyFont="1" applyBorder="1"/>
    <xf numFmtId="1" fontId="4" fillId="0" borderId="3" xfId="0" applyNumberFormat="1" applyFont="1" applyBorder="1"/>
    <xf numFmtId="0" fontId="0" fillId="4" borderId="4" xfId="0" applyFill="1" applyBorder="1"/>
    <xf numFmtId="164" fontId="0" fillId="4" borderId="4" xfId="0" applyNumberFormat="1" applyFill="1" applyBorder="1"/>
    <xf numFmtId="0" fontId="4" fillId="4" borderId="4" xfId="0" applyFont="1" applyFill="1" applyBorder="1"/>
    <xf numFmtId="164" fontId="4" fillId="4" borderId="4" xfId="0" applyNumberFormat="1" applyFont="1" applyFill="1" applyBorder="1"/>
    <xf numFmtId="0" fontId="0" fillId="0" borderId="4" xfId="0" applyBorder="1"/>
    <xf numFmtId="1" fontId="0" fillId="0" borderId="4" xfId="0" applyNumberFormat="1" applyBorder="1"/>
    <xf numFmtId="2" fontId="0" fillId="0" borderId="4" xfId="0" applyNumberFormat="1" applyBorder="1"/>
    <xf numFmtId="0" fontId="1" fillId="2" borderId="2" xfId="0" applyFont="1" applyFill="1" applyBorder="1" applyAlignment="1">
      <alignment horizontal="center"/>
    </xf>
    <xf numFmtId="0" fontId="5" fillId="0" borderId="0" xfId="0" applyFont="1"/>
    <xf numFmtId="0" fontId="4" fillId="0" borderId="0" xfId="0" applyFont="1" applyBorder="1"/>
    <xf numFmtId="1" fontId="4" fillId="0" borderId="0" xfId="0" applyNumberFormat="1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EC369-0F9A-40B3-AE73-7135976CEFAA}">
  <dimension ref="B2:Q36"/>
  <sheetViews>
    <sheetView showGridLines="0" tabSelected="1" workbookViewId="0">
      <selection activeCell="D9" sqref="D9"/>
    </sheetView>
  </sheetViews>
  <sheetFormatPr defaultRowHeight="14.4" x14ac:dyDescent="0.3"/>
  <cols>
    <col min="1" max="1" width="1.88671875" customWidth="1"/>
    <col min="4" max="4" width="11.109375" customWidth="1"/>
    <col min="5" max="5" width="11.44140625" customWidth="1"/>
    <col min="6" max="6" width="10.5546875" bestFit="1" customWidth="1"/>
    <col min="7" max="7" width="9.33203125" bestFit="1" customWidth="1"/>
    <col min="8" max="8" width="9.6640625" customWidth="1"/>
    <col min="10" max="10" width="1.88671875" customWidth="1"/>
    <col min="11" max="11" width="9.6640625" bestFit="1" customWidth="1"/>
    <col min="12" max="12" width="9" bestFit="1" customWidth="1"/>
    <col min="13" max="13" width="10.77734375" customWidth="1"/>
    <col min="14" max="14" width="1.88671875" customWidth="1"/>
    <col min="15" max="15" width="11.5546875" customWidth="1"/>
    <col min="16" max="16" width="10.77734375" customWidth="1"/>
    <col min="17" max="17" width="11.5546875" bestFit="1" customWidth="1"/>
  </cols>
  <sheetData>
    <row r="2" spans="2:17" ht="15.6" x14ac:dyDescent="0.3">
      <c r="B2" s="37" t="s">
        <v>50</v>
      </c>
    </row>
    <row r="3" spans="2:17" x14ac:dyDescent="0.3">
      <c r="B3" s="16" t="s">
        <v>0</v>
      </c>
      <c r="C3" s="1"/>
      <c r="D3" s="1"/>
      <c r="E3" s="1"/>
      <c r="F3" s="1"/>
      <c r="G3" s="1"/>
      <c r="H3" s="1"/>
      <c r="I3" s="1"/>
      <c r="J3" s="1"/>
      <c r="K3" s="1"/>
    </row>
    <row r="4" spans="2:17" ht="3.6" customHeight="1" x14ac:dyDescent="0.3"/>
    <row r="5" spans="2:17" x14ac:dyDescent="0.3">
      <c r="B5" s="2"/>
      <c r="C5" s="2"/>
      <c r="D5" s="33" t="s">
        <v>8</v>
      </c>
      <c r="E5" s="33"/>
      <c r="F5" s="33"/>
      <c r="G5" s="33"/>
      <c r="H5" s="33"/>
      <c r="I5" s="33"/>
      <c r="J5" s="2"/>
      <c r="K5" s="33" t="s">
        <v>13</v>
      </c>
      <c r="L5" s="33"/>
      <c r="M5" s="33"/>
      <c r="N5" s="3"/>
      <c r="O5" s="33" t="s">
        <v>12</v>
      </c>
      <c r="P5" s="33"/>
      <c r="Q5" s="33"/>
    </row>
    <row r="6" spans="2:17" ht="28.8" customHeight="1" x14ac:dyDescent="0.3">
      <c r="B6" s="6" t="s">
        <v>1</v>
      </c>
      <c r="C6" s="6" t="s">
        <v>2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7</v>
      </c>
      <c r="I6" s="7"/>
      <c r="J6" s="8"/>
      <c r="K6" s="8" t="s">
        <v>9</v>
      </c>
      <c r="L6" s="8" t="s">
        <v>10</v>
      </c>
      <c r="M6" s="8" t="s">
        <v>11</v>
      </c>
      <c r="N6" s="7"/>
      <c r="O6" s="7" t="s">
        <v>35</v>
      </c>
      <c r="P6" s="7" t="s">
        <v>36</v>
      </c>
      <c r="Q6" s="7" t="s">
        <v>37</v>
      </c>
    </row>
    <row r="7" spans="2:17" s="5" customFormat="1" ht="3.6" customHeight="1" x14ac:dyDescent="0.3">
      <c r="B7" s="9"/>
      <c r="C7" s="9"/>
      <c r="D7" s="10"/>
      <c r="E7" s="10"/>
      <c r="F7" s="10"/>
      <c r="G7" s="10"/>
      <c r="H7" s="10"/>
      <c r="I7" s="10"/>
      <c r="J7" s="11"/>
      <c r="K7" s="11"/>
      <c r="L7" s="11"/>
      <c r="M7" s="11"/>
      <c r="N7" s="10"/>
      <c r="O7" s="10"/>
      <c r="P7" s="10"/>
      <c r="Q7" s="10"/>
    </row>
    <row r="8" spans="2:17" s="5" customFormat="1" x14ac:dyDescent="0.3">
      <c r="B8" s="12" t="str">
        <f>Data!C4</f>
        <v>Infosys</v>
      </c>
      <c r="C8" s="12"/>
      <c r="D8" s="19">
        <f>Data!D4</f>
        <v>1249.8</v>
      </c>
      <c r="E8" s="22">
        <f>Data!E4</f>
        <v>405.54</v>
      </c>
      <c r="F8" s="19">
        <f>D8*E8</f>
        <v>506843.89199999999</v>
      </c>
      <c r="G8" s="19">
        <f>Data!I4</f>
        <v>-15659</v>
      </c>
      <c r="H8" s="19">
        <f>Data!J4</f>
        <v>473592.89199999999</v>
      </c>
      <c r="I8" s="19"/>
      <c r="J8" s="20"/>
      <c r="K8" s="20">
        <f>Data!K4</f>
        <v>173173</v>
      </c>
      <c r="L8" s="20">
        <f>Data!L4</f>
        <v>43293.25</v>
      </c>
      <c r="M8" s="20">
        <f>Data!M4</f>
        <v>28003</v>
      </c>
      <c r="N8" s="13"/>
      <c r="O8" s="17">
        <f>$H8/K8</f>
        <v>2.734796371258799</v>
      </c>
      <c r="P8" s="17">
        <f t="shared" ref="P8:P17" si="0">$H8/L8</f>
        <v>10.939185485035196</v>
      </c>
      <c r="Q8" s="17">
        <f>F8/M8</f>
        <v>18.09962832553655</v>
      </c>
    </row>
    <row r="9" spans="2:17" x14ac:dyDescent="0.3">
      <c r="B9" s="14" t="str">
        <f>Data!C3</f>
        <v>TCS</v>
      </c>
      <c r="C9" s="14"/>
      <c r="D9" s="21">
        <f>Data!D3</f>
        <v>2409.1999999999998</v>
      </c>
      <c r="E9" s="23">
        <f>Data!E3</f>
        <v>361.81</v>
      </c>
      <c r="F9" s="21">
        <f>D9*E9</f>
        <v>871672.65199999989</v>
      </c>
      <c r="G9" s="21">
        <f>Data!I3</f>
        <v>-4531</v>
      </c>
      <c r="H9" s="21">
        <f>Data!J3</f>
        <v>845277.65199999989</v>
      </c>
      <c r="I9" s="21"/>
      <c r="J9" s="21"/>
      <c r="K9" s="21">
        <f>Data!K3</f>
        <v>260802</v>
      </c>
      <c r="L9" s="21">
        <f>Data!L3</f>
        <v>70416.540000000008</v>
      </c>
      <c r="M9" s="21">
        <f>Data!M3</f>
        <v>47963</v>
      </c>
      <c r="N9" s="15"/>
      <c r="O9" s="18">
        <f>$H9/K9</f>
        <v>3.2410704365764063</v>
      </c>
      <c r="P9" s="18">
        <f>$H9/L9</f>
        <v>12.003964579912614</v>
      </c>
      <c r="Q9" s="18">
        <f t="shared" ref="Q9:Q17" si="1">F9/M9</f>
        <v>18.173855930613179</v>
      </c>
    </row>
    <row r="10" spans="2:17" x14ac:dyDescent="0.3">
      <c r="B10" s="14" t="str">
        <f>Data!C5</f>
        <v>HCL Technologies</v>
      </c>
      <c r="C10" s="14"/>
      <c r="D10" s="21">
        <f>Data!D5</f>
        <v>1328.6</v>
      </c>
      <c r="E10" s="23">
        <f>Data!E5</f>
        <v>271.37</v>
      </c>
      <c r="F10" s="21">
        <f t="shared" ref="F10:F17" si="2">D10*E10</f>
        <v>360542.18199999997</v>
      </c>
      <c r="G10" s="21">
        <f>Data!I5</f>
        <v>-14509</v>
      </c>
      <c r="H10" s="21">
        <f>Data!J5</f>
        <v>332473.18199999997</v>
      </c>
      <c r="I10" s="21"/>
      <c r="J10" s="21"/>
      <c r="K10" s="21">
        <f>Data!K5</f>
        <v>126409</v>
      </c>
      <c r="L10" s="21">
        <f>Data!L5</f>
        <v>27809.98</v>
      </c>
      <c r="M10" s="21">
        <f>Data!M5</f>
        <v>16471</v>
      </c>
      <c r="N10" s="15"/>
      <c r="O10" s="18">
        <f t="shared" ref="O10:O17" si="3">$H10/K10</f>
        <v>2.6301385344397943</v>
      </c>
      <c r="P10" s="18">
        <f t="shared" si="0"/>
        <v>11.95517515654452</v>
      </c>
      <c r="Q10" s="18">
        <f t="shared" si="1"/>
        <v>21.889513812154693</v>
      </c>
    </row>
    <row r="11" spans="2:17" x14ac:dyDescent="0.3">
      <c r="B11" s="14" t="str">
        <f>Data!C6</f>
        <v>Wipro</v>
      </c>
      <c r="C11" s="14"/>
      <c r="D11" s="21">
        <f>Data!D6</f>
        <v>195.11</v>
      </c>
      <c r="E11" s="23">
        <f>Data!E6</f>
        <v>1048.8</v>
      </c>
      <c r="F11" s="21">
        <f t="shared" si="2"/>
        <v>204631.36800000002</v>
      </c>
      <c r="G11" s="21">
        <f>Data!I6</f>
        <v>3966.3000000000011</v>
      </c>
      <c r="H11" s="21">
        <f>Data!J6</f>
        <v>176270.26800000001</v>
      </c>
      <c r="I11" s="21"/>
      <c r="J11" s="21"/>
      <c r="K11" s="21">
        <f>Data!K6</f>
        <v>90891.9</v>
      </c>
      <c r="L11" s="21">
        <f>Data!L6</f>
        <v>21814.055999999997</v>
      </c>
      <c r="M11" s="21">
        <f>Data!M6</f>
        <v>13332</v>
      </c>
      <c r="N11" s="15"/>
      <c r="O11" s="18">
        <f t="shared" si="3"/>
        <v>1.9393396771329461</v>
      </c>
      <c r="P11" s="18">
        <f t="shared" si="0"/>
        <v>8.0805819880539431</v>
      </c>
      <c r="Q11" s="18">
        <f t="shared" si="1"/>
        <v>15.348887488748876</v>
      </c>
    </row>
    <row r="12" spans="2:17" x14ac:dyDescent="0.3">
      <c r="B12" s="14" t="str">
        <f>Data!C7</f>
        <v>Tech Mahindra</v>
      </c>
      <c r="C12" s="14"/>
      <c r="D12" s="21">
        <f>Data!D7</f>
        <v>1334.95</v>
      </c>
      <c r="E12" s="23">
        <f>Data!E7</f>
        <v>97.98</v>
      </c>
      <c r="F12" s="21">
        <f t="shared" si="2"/>
        <v>130798.40100000001</v>
      </c>
      <c r="G12" s="21">
        <f>Data!I7</f>
        <v>-2587.7999999999997</v>
      </c>
      <c r="H12" s="21">
        <f>Data!J7</f>
        <v>124301.80100000002</v>
      </c>
      <c r="I12" s="21"/>
      <c r="J12" s="21"/>
      <c r="K12" s="21">
        <f>Data!K7</f>
        <v>55123.3</v>
      </c>
      <c r="L12" s="21">
        <f>Data!L7</f>
        <v>8268.4950000000008</v>
      </c>
      <c r="M12" s="21">
        <f>Data!M7</f>
        <v>4591</v>
      </c>
      <c r="N12" s="15"/>
      <c r="O12" s="18">
        <f t="shared" si="3"/>
        <v>2.2549774959046358</v>
      </c>
      <c r="P12" s="18">
        <f>$H12/L12</f>
        <v>15.033183306030905</v>
      </c>
      <c r="Q12" s="18">
        <f t="shared" si="1"/>
        <v>28.490176649967331</v>
      </c>
    </row>
    <row r="13" spans="2:17" x14ac:dyDescent="0.3">
      <c r="B13" s="14" t="str">
        <f>Data!C8</f>
        <v>LTIMindtree</v>
      </c>
      <c r="C13" s="14"/>
      <c r="D13" s="21">
        <f>Data!D8</f>
        <v>4182.8999999999996</v>
      </c>
      <c r="E13" s="23">
        <f>Data!E8</f>
        <v>29.65</v>
      </c>
      <c r="F13" s="21">
        <f t="shared" si="2"/>
        <v>124022.98499999999</v>
      </c>
      <c r="G13" s="21">
        <f>Data!I8</f>
        <v>-1205.5999999999999</v>
      </c>
      <c r="H13" s="21">
        <f>Data!J8</f>
        <v>118052.18499999998</v>
      </c>
      <c r="I13" s="21"/>
      <c r="J13" s="21"/>
      <c r="K13" s="21">
        <f>Data!K8</f>
        <v>40787.599999999999</v>
      </c>
      <c r="L13" s="21">
        <f>Data!L8</f>
        <v>7749.6440000000002</v>
      </c>
      <c r="M13" s="21">
        <f>Data!M8</f>
        <v>4724</v>
      </c>
      <c r="N13" s="15"/>
      <c r="O13" s="18">
        <f t="shared" si="3"/>
        <v>2.8943155517853461</v>
      </c>
      <c r="P13" s="18">
        <f t="shared" si="0"/>
        <v>15.233239746238663</v>
      </c>
      <c r="Q13" s="18">
        <f t="shared" si="1"/>
        <v>26.253807154953428</v>
      </c>
    </row>
    <row r="14" spans="2:17" x14ac:dyDescent="0.3">
      <c r="B14" s="14" t="str">
        <f>Data!C9</f>
        <v>Persistent Systems</v>
      </c>
      <c r="C14" s="14"/>
      <c r="D14" s="21">
        <f>Data!D9</f>
        <v>4643.8500000000004</v>
      </c>
      <c r="E14" s="23">
        <f>Data!E9</f>
        <v>15.78</v>
      </c>
      <c r="F14" s="21">
        <f t="shared" si="2"/>
        <v>73279.953000000009</v>
      </c>
      <c r="G14" s="21">
        <f>Data!I9</f>
        <v>-621.53</v>
      </c>
      <c r="H14" s="21">
        <f>Data!J9</f>
        <v>71850.543000000005</v>
      </c>
      <c r="I14" s="21"/>
      <c r="J14" s="21"/>
      <c r="K14" s="21">
        <f>Data!K9</f>
        <v>13934.63</v>
      </c>
      <c r="L14" s="21">
        <f>Data!L9</f>
        <v>2647.5796999999998</v>
      </c>
      <c r="M14" s="21">
        <f>Data!M9</f>
        <v>1731.62</v>
      </c>
      <c r="N14" s="15"/>
      <c r="O14" s="18">
        <f>$H14/K14</f>
        <v>5.1562576831964684</v>
      </c>
      <c r="P14" s="18">
        <f t="shared" si="0"/>
        <v>27.138198332612994</v>
      </c>
      <c r="Q14" s="18">
        <f t="shared" si="1"/>
        <v>42.31872639493654</v>
      </c>
    </row>
    <row r="15" spans="2:17" x14ac:dyDescent="0.3">
      <c r="B15" s="14" t="str">
        <f>Data!C10</f>
        <v>Mphasis</v>
      </c>
      <c r="C15" s="14"/>
      <c r="D15" s="21">
        <f>Data!D10</f>
        <v>2079.8000000000002</v>
      </c>
      <c r="E15" s="23">
        <f>Data!E10</f>
        <v>19.07</v>
      </c>
      <c r="F15" s="21">
        <f t="shared" si="2"/>
        <v>39661.786000000007</v>
      </c>
      <c r="G15" s="21">
        <f>Data!I10</f>
        <v>366.45000000000005</v>
      </c>
      <c r="H15" s="21">
        <f>Data!J10</f>
        <v>36070.176000000007</v>
      </c>
      <c r="I15" s="21"/>
      <c r="J15" s="21"/>
      <c r="K15" s="21">
        <f>Data!K10</f>
        <v>15347.02</v>
      </c>
      <c r="L15" s="21">
        <f>Data!L10</f>
        <v>3069.4040000000005</v>
      </c>
      <c r="M15" s="21">
        <f>Data!M10</f>
        <v>1799.45</v>
      </c>
      <c r="N15" s="15"/>
      <c r="O15" s="18">
        <f t="shared" si="3"/>
        <v>2.3503048800353428</v>
      </c>
      <c r="P15" s="18">
        <f t="shared" si="0"/>
        <v>11.751524400176713</v>
      </c>
      <c r="Q15" s="18">
        <f t="shared" si="1"/>
        <v>22.041060323987889</v>
      </c>
    </row>
    <row r="16" spans="2:17" x14ac:dyDescent="0.3">
      <c r="B16" s="14" t="str">
        <f>Data!C11</f>
        <v>Coforge</v>
      </c>
      <c r="C16" s="14"/>
      <c r="D16" s="21">
        <f>Data!D11</f>
        <v>1080.8499999999999</v>
      </c>
      <c r="E16" s="23">
        <f>Data!E11</f>
        <v>33.58</v>
      </c>
      <c r="F16" s="21">
        <f t="shared" si="2"/>
        <v>36294.942999999992</v>
      </c>
      <c r="G16" s="21">
        <f>Data!I11</f>
        <v>88.299999999999955</v>
      </c>
      <c r="H16" s="21">
        <f>Data!J11</f>
        <v>34440.242999999995</v>
      </c>
      <c r="I16" s="21"/>
      <c r="J16" s="21"/>
      <c r="K16" s="21">
        <f>Data!K11</f>
        <v>15272.3</v>
      </c>
      <c r="L16" s="21">
        <f>Data!L11</f>
        <v>2596.2910000000002</v>
      </c>
      <c r="M16" s="21">
        <f>Data!M11</f>
        <v>1385.8</v>
      </c>
      <c r="N16" s="15"/>
      <c r="O16" s="18">
        <f t="shared" si="3"/>
        <v>2.2550789992339069</v>
      </c>
      <c r="P16" s="18">
        <f t="shared" si="0"/>
        <v>13.265170583728862</v>
      </c>
      <c r="Q16" s="18">
        <f t="shared" si="1"/>
        <v>26.19060686967816</v>
      </c>
    </row>
    <row r="17" spans="2:17" x14ac:dyDescent="0.3">
      <c r="B17" s="14" t="str">
        <f>Data!C12</f>
        <v>Tata Elxsi</v>
      </c>
      <c r="C17" s="14"/>
      <c r="D17" s="21">
        <f>Data!D12</f>
        <v>4202.2</v>
      </c>
      <c r="E17" s="23">
        <f>Data!E12</f>
        <v>6.23</v>
      </c>
      <c r="F17" s="21">
        <f t="shared" si="2"/>
        <v>26179.706000000002</v>
      </c>
      <c r="G17" s="21">
        <f>Data!I12</f>
        <v>-1437.2900000000002</v>
      </c>
      <c r="H17" s="21">
        <f>Data!J12</f>
        <v>24404.216000000004</v>
      </c>
      <c r="I17" s="21"/>
      <c r="J17" s="21"/>
      <c r="K17" s="21">
        <f>Data!K12</f>
        <v>3672.01</v>
      </c>
      <c r="L17" s="21">
        <f>Data!L12</f>
        <v>881.28240000000005</v>
      </c>
      <c r="M17" s="21">
        <f>Data!M12</f>
        <v>580.5</v>
      </c>
      <c r="N17" s="15"/>
      <c r="O17" s="18">
        <f t="shared" si="3"/>
        <v>6.6460102232837066</v>
      </c>
      <c r="P17" s="18">
        <f t="shared" si="0"/>
        <v>27.69170926368211</v>
      </c>
      <c r="Q17" s="18">
        <f t="shared" si="1"/>
        <v>45.098546080964688</v>
      </c>
    </row>
    <row r="18" spans="2:17" ht="5.4" customHeight="1" x14ac:dyDescent="0.3"/>
    <row r="19" spans="2:17" x14ac:dyDescent="0.3">
      <c r="B19" s="26" t="s">
        <v>38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7">
        <f>MAX(O8:O17)</f>
        <v>6.6460102232837066</v>
      </c>
      <c r="P19" s="27">
        <f t="shared" ref="P19:Q19" si="4">MAX(P8:P17)</f>
        <v>27.69170926368211</v>
      </c>
      <c r="Q19" s="27">
        <f t="shared" si="4"/>
        <v>45.098546080964688</v>
      </c>
    </row>
    <row r="20" spans="2:17" x14ac:dyDescent="0.3">
      <c r="B20" s="26" t="s">
        <v>39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7">
        <f>QUARTILE(O8:O17,3)</f>
        <v>3.1543817153786411</v>
      </c>
      <c r="P20" s="27">
        <f t="shared" ref="P20:Q20" si="5">QUARTILE(P8:P17,3)</f>
        <v>15.183225636186723</v>
      </c>
      <c r="Q20" s="27">
        <f t="shared" si="5"/>
        <v>27.931084276213856</v>
      </c>
    </row>
    <row r="21" spans="2:17" x14ac:dyDescent="0.3">
      <c r="B21" s="28" t="s">
        <v>40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9">
        <f>AVERAGE(O8:O17)</f>
        <v>3.210228985284735</v>
      </c>
      <c r="P21" s="29">
        <f t="shared" ref="P21:Q21" si="6">AVERAGE(P8:P17)</f>
        <v>15.309193284201651</v>
      </c>
      <c r="Q21" s="29">
        <f t="shared" si="6"/>
        <v>26.390480903154135</v>
      </c>
    </row>
    <row r="22" spans="2:17" x14ac:dyDescent="0.3">
      <c r="B22" s="28" t="s">
        <v>41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9">
        <f>MEDIAN(O8:O17)</f>
        <v>2.6824674528492967</v>
      </c>
      <c r="P22" s="29">
        <f t="shared" ref="P22:Q22" si="7">MEDIAN(P8:P17)</f>
        <v>12.634567581820738</v>
      </c>
      <c r="Q22" s="29">
        <f t="shared" si="7"/>
        <v>24.115833596833024</v>
      </c>
    </row>
    <row r="23" spans="2:17" x14ac:dyDescent="0.3">
      <c r="B23" s="26" t="s">
        <v>42</v>
      </c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f>QUARTILE(O8:O17,1)</f>
        <v>2.278885469434266</v>
      </c>
      <c r="P23" s="27">
        <f t="shared" ref="P23:Q23" si="8">QUARTILE(P8:P17,1)</f>
        <v>11.802437089268665</v>
      </c>
      <c r="Q23" s="27">
        <f t="shared" si="8"/>
        <v>19.102770400998558</v>
      </c>
    </row>
    <row r="24" spans="2:17" x14ac:dyDescent="0.3">
      <c r="B24" s="26" t="s">
        <v>43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f>MIN(O8:O17)</f>
        <v>1.9393396771329461</v>
      </c>
      <c r="P24" s="27">
        <f t="shared" ref="P24:Q24" si="9">MIN(P8:P17)</f>
        <v>8.0805819880539431</v>
      </c>
      <c r="Q24" s="27">
        <f t="shared" si="9"/>
        <v>15.348887488748876</v>
      </c>
    </row>
    <row r="26" spans="2:17" x14ac:dyDescent="0.3">
      <c r="B26" s="3" t="s">
        <v>44</v>
      </c>
      <c r="C26" s="2"/>
      <c r="D26" s="2"/>
      <c r="E26" s="2" t="s">
        <v>34</v>
      </c>
      <c r="F26" s="2"/>
      <c r="G26" s="2"/>
      <c r="H26" s="2"/>
      <c r="I26" s="2"/>
      <c r="J26" s="2"/>
      <c r="K26" s="2"/>
      <c r="L26" s="2"/>
      <c r="M26" s="2"/>
      <c r="N26" s="2"/>
      <c r="O26" s="7" t="s">
        <v>35</v>
      </c>
      <c r="P26" s="7" t="s">
        <v>36</v>
      </c>
      <c r="Q26" s="7" t="s">
        <v>37</v>
      </c>
    </row>
    <row r="27" spans="2:17" ht="3.6" customHeight="1" x14ac:dyDescent="0.3"/>
    <row r="28" spans="2:17" x14ac:dyDescent="0.3">
      <c r="B28" s="30" t="s">
        <v>45</v>
      </c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1">
        <f>O22*K8</f>
        <v>464530.93621227128</v>
      </c>
      <c r="P28" s="31">
        <f>P22*L8</f>
        <v>546991.49296166061</v>
      </c>
      <c r="Q28" s="31">
        <f>Q30+Q29</f>
        <v>659656.6882121152</v>
      </c>
    </row>
    <row r="29" spans="2:17" x14ac:dyDescent="0.3">
      <c r="B29" s="30" t="s">
        <v>6</v>
      </c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1">
        <f>$G$8</f>
        <v>-15659</v>
      </c>
      <c r="P29" s="31">
        <f t="shared" ref="P29:Q29" si="10">$G$8</f>
        <v>-15659</v>
      </c>
      <c r="Q29" s="31">
        <f t="shared" si="10"/>
        <v>-15659</v>
      </c>
    </row>
    <row r="30" spans="2:17" x14ac:dyDescent="0.3">
      <c r="B30" s="30" t="s">
        <v>46</v>
      </c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1">
        <f>O28+O29</f>
        <v>448871.93621227128</v>
      </c>
      <c r="P30" s="31">
        <f t="shared" ref="P30" si="11">P28+P29</f>
        <v>531332.49296166061</v>
      </c>
      <c r="Q30" s="31">
        <f>Q22*M8</f>
        <v>675315.6882121152</v>
      </c>
    </row>
    <row r="31" spans="2:17" x14ac:dyDescent="0.3">
      <c r="B31" s="30" t="s">
        <v>47</v>
      </c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2">
        <f>$E$8</f>
        <v>405.54</v>
      </c>
      <c r="P31" s="32">
        <f t="shared" ref="P31:Q31" si="12">$E$8</f>
        <v>405.54</v>
      </c>
      <c r="Q31" s="32">
        <f t="shared" si="12"/>
        <v>405.54</v>
      </c>
    </row>
    <row r="32" spans="2:17" ht="4.2" customHeight="1" x14ac:dyDescent="0.3">
      <c r="O32" s="5"/>
      <c r="P32" s="5"/>
      <c r="Q32" s="5"/>
    </row>
    <row r="33" spans="2:17" x14ac:dyDescent="0.3">
      <c r="B33" s="24" t="s">
        <v>48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5">
        <f>O30/O31</f>
        <v>1106.8499684674046</v>
      </c>
      <c r="P33" s="25">
        <f t="shared" ref="P33:Q33" si="13">P30/P31</f>
        <v>1310.1851678297101</v>
      </c>
      <c r="Q33" s="25">
        <f t="shared" si="13"/>
        <v>1665.2258426101375</v>
      </c>
    </row>
    <row r="34" spans="2:17" ht="3.6" customHeight="1" x14ac:dyDescent="0.3"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6"/>
      <c r="P34" s="36"/>
      <c r="Q34" s="36"/>
    </row>
    <row r="35" spans="2:17" x14ac:dyDescent="0.3">
      <c r="B35" s="34" t="s">
        <v>49</v>
      </c>
    </row>
    <row r="36" spans="2:17" x14ac:dyDescent="0.3">
      <c r="O36" t="str">
        <f>IF(O33&gt;$D$8,"Undervalued","Overvalued")</f>
        <v>Overvalued</v>
      </c>
      <c r="P36" t="str">
        <f t="shared" ref="P36:Q36" si="14">IF(P33&gt;$D$8,"Undervalued","Overvalued")</f>
        <v>Undervalued</v>
      </c>
      <c r="Q36" t="str">
        <f t="shared" si="14"/>
        <v>Undervalued</v>
      </c>
    </row>
  </sheetData>
  <mergeCells count="3">
    <mergeCell ref="D5:I5"/>
    <mergeCell ref="K5:M5"/>
    <mergeCell ref="O5:Q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A936F-F244-479A-8EF8-1AF570784EE1}">
  <dimension ref="A2:M17"/>
  <sheetViews>
    <sheetView showGridLines="0" workbookViewId="0">
      <selection activeCell="J3" sqref="J3"/>
    </sheetView>
  </sheetViews>
  <sheetFormatPr defaultRowHeight="14.4" x14ac:dyDescent="0.3"/>
  <cols>
    <col min="1" max="1" width="1.88671875" customWidth="1"/>
    <col min="2" max="2" width="5.44140625" bestFit="1" customWidth="1"/>
    <col min="3" max="3" width="16.109375" bestFit="1" customWidth="1"/>
    <col min="4" max="4" width="8" bestFit="1" customWidth="1"/>
    <col min="5" max="5" width="15.6640625" bestFit="1" customWidth="1"/>
    <col min="6" max="6" width="15.6640625" customWidth="1"/>
    <col min="7" max="7" width="10.109375" bestFit="1" customWidth="1"/>
    <col min="8" max="8" width="13.6640625" bestFit="1" customWidth="1"/>
    <col min="9" max="9" width="13.6640625" customWidth="1"/>
    <col min="10" max="10" width="13.6640625" bestFit="1" customWidth="1"/>
    <col min="11" max="11" width="10.33203125" bestFit="1" customWidth="1"/>
    <col min="12" max="12" width="14" customWidth="1"/>
    <col min="13" max="13" width="12.6640625" bestFit="1" customWidth="1"/>
  </cols>
  <sheetData>
    <row r="2" spans="1:13" x14ac:dyDescent="0.3">
      <c r="A2" s="4"/>
      <c r="B2" t="s">
        <v>14</v>
      </c>
      <c r="C2" t="s">
        <v>15</v>
      </c>
      <c r="D2" t="s">
        <v>16</v>
      </c>
      <c r="E2" t="s">
        <v>17</v>
      </c>
      <c r="F2" t="s">
        <v>32</v>
      </c>
      <c r="G2" t="s">
        <v>18</v>
      </c>
      <c r="H2" t="s">
        <v>19</v>
      </c>
      <c r="I2" t="s">
        <v>6</v>
      </c>
      <c r="J2" t="s">
        <v>33</v>
      </c>
      <c r="K2" t="s">
        <v>20</v>
      </c>
      <c r="L2" t="s">
        <v>10</v>
      </c>
      <c r="M2" t="s">
        <v>21</v>
      </c>
    </row>
    <row r="3" spans="1:13" x14ac:dyDescent="0.3">
      <c r="B3">
        <v>1</v>
      </c>
      <c r="C3" t="s">
        <v>22</v>
      </c>
      <c r="D3" s="5">
        <v>2409.1999999999998</v>
      </c>
      <c r="E3" s="5">
        <v>361.81</v>
      </c>
      <c r="F3" s="5">
        <f>D3*E3</f>
        <v>871672.65199999989</v>
      </c>
      <c r="G3" s="5">
        <v>10932</v>
      </c>
      <c r="H3" s="5">
        <v>15463</v>
      </c>
      <c r="I3" s="5">
        <f>G3-H3</f>
        <v>-4531</v>
      </c>
      <c r="J3" s="5">
        <f>F3-G3-H3</f>
        <v>845277.65199999989</v>
      </c>
      <c r="K3" s="5">
        <v>260802</v>
      </c>
      <c r="L3">
        <v>70416.540000000008</v>
      </c>
      <c r="M3" s="5">
        <v>47963</v>
      </c>
    </row>
    <row r="4" spans="1:13" x14ac:dyDescent="0.3">
      <c r="B4">
        <v>2</v>
      </c>
      <c r="C4" t="s">
        <v>23</v>
      </c>
      <c r="D4" s="5">
        <v>1249.8</v>
      </c>
      <c r="E4" s="5">
        <v>405.54</v>
      </c>
      <c r="F4" s="5">
        <f t="shared" ref="F4:F12" si="0">D4*E4</f>
        <v>506843.89199999999</v>
      </c>
      <c r="G4" s="5">
        <v>8796</v>
      </c>
      <c r="H4" s="5">
        <v>24455</v>
      </c>
      <c r="I4" s="5">
        <f t="shared" ref="I4:I12" si="1">G4-H4</f>
        <v>-15659</v>
      </c>
      <c r="J4" s="5">
        <f t="shared" ref="J4:J12" si="2">F4-G4-H4</f>
        <v>473592.89199999999</v>
      </c>
      <c r="K4" s="5">
        <v>173173</v>
      </c>
      <c r="L4">
        <v>43293.25</v>
      </c>
      <c r="M4" s="5">
        <v>28003</v>
      </c>
    </row>
    <row r="5" spans="1:13" x14ac:dyDescent="0.3">
      <c r="B5">
        <v>3</v>
      </c>
      <c r="C5" t="s">
        <v>24</v>
      </c>
      <c r="D5" s="5">
        <v>1328.6</v>
      </c>
      <c r="E5" s="5">
        <v>271.37</v>
      </c>
      <c r="F5" s="5">
        <f t="shared" si="0"/>
        <v>360542.18199999997</v>
      </c>
      <c r="G5" s="5">
        <v>6780</v>
      </c>
      <c r="H5" s="5">
        <v>21289</v>
      </c>
      <c r="I5" s="5">
        <f t="shared" si="1"/>
        <v>-14509</v>
      </c>
      <c r="J5" s="5">
        <f t="shared" si="2"/>
        <v>332473.18199999997</v>
      </c>
      <c r="K5" s="5">
        <v>126409</v>
      </c>
      <c r="L5">
        <v>27809.98</v>
      </c>
      <c r="M5" s="5">
        <v>16471</v>
      </c>
    </row>
    <row r="6" spans="1:13" x14ac:dyDescent="0.3">
      <c r="B6">
        <v>4</v>
      </c>
      <c r="C6" t="s">
        <v>25</v>
      </c>
      <c r="D6" s="5">
        <v>195.11</v>
      </c>
      <c r="E6" s="5">
        <v>1048.8</v>
      </c>
      <c r="F6" s="5">
        <f t="shared" si="0"/>
        <v>204631.36800000002</v>
      </c>
      <c r="G6" s="5">
        <v>16163.7</v>
      </c>
      <c r="H6" s="5">
        <v>12197.4</v>
      </c>
      <c r="I6" s="5">
        <f t="shared" si="1"/>
        <v>3966.3000000000011</v>
      </c>
      <c r="J6" s="5">
        <f t="shared" si="2"/>
        <v>176270.26800000001</v>
      </c>
      <c r="K6" s="5">
        <v>90891.9</v>
      </c>
      <c r="L6">
        <v>21814.055999999997</v>
      </c>
      <c r="M6" s="5">
        <v>13332</v>
      </c>
    </row>
    <row r="7" spans="1:13" x14ac:dyDescent="0.3">
      <c r="B7">
        <v>5</v>
      </c>
      <c r="C7" t="s">
        <v>26</v>
      </c>
      <c r="D7" s="5">
        <v>1334.95</v>
      </c>
      <c r="E7" s="5">
        <v>97.98</v>
      </c>
      <c r="F7" s="5">
        <f t="shared" si="0"/>
        <v>130798.40100000001</v>
      </c>
      <c r="G7" s="5">
        <v>1954.4</v>
      </c>
      <c r="H7" s="5">
        <v>4542.2</v>
      </c>
      <c r="I7" s="5">
        <f t="shared" si="1"/>
        <v>-2587.7999999999997</v>
      </c>
      <c r="J7" s="5">
        <f t="shared" si="2"/>
        <v>124301.80100000002</v>
      </c>
      <c r="K7" s="5">
        <v>55123.3</v>
      </c>
      <c r="L7">
        <v>8268.4950000000008</v>
      </c>
      <c r="M7" s="5">
        <v>4591</v>
      </c>
    </row>
    <row r="8" spans="1:13" x14ac:dyDescent="0.3">
      <c r="B8">
        <v>6</v>
      </c>
      <c r="C8" t="s">
        <v>27</v>
      </c>
      <c r="D8" s="5">
        <v>4182.8999999999996</v>
      </c>
      <c r="E8" s="5">
        <v>29.65</v>
      </c>
      <c r="F8" s="5">
        <f t="shared" si="0"/>
        <v>124022.98499999999</v>
      </c>
      <c r="G8" s="5">
        <v>2382.6</v>
      </c>
      <c r="H8" s="5">
        <v>3588.2</v>
      </c>
      <c r="I8" s="5">
        <f t="shared" si="1"/>
        <v>-1205.5999999999999</v>
      </c>
      <c r="J8" s="5">
        <f t="shared" si="2"/>
        <v>118052.18499999998</v>
      </c>
      <c r="K8" s="5">
        <v>40787.599999999999</v>
      </c>
      <c r="L8">
        <v>7749.6440000000002</v>
      </c>
      <c r="M8" s="5">
        <v>4724</v>
      </c>
    </row>
    <row r="9" spans="1:13" x14ac:dyDescent="0.3">
      <c r="B9">
        <v>7</v>
      </c>
      <c r="C9" t="s">
        <v>28</v>
      </c>
      <c r="D9" s="5">
        <v>4643.8500000000004</v>
      </c>
      <c r="E9" s="5">
        <v>15.78</v>
      </c>
      <c r="F9" s="5">
        <f t="shared" si="0"/>
        <v>73279.953000000009</v>
      </c>
      <c r="G9" s="5">
        <v>403.94</v>
      </c>
      <c r="H9" s="5">
        <v>1025.47</v>
      </c>
      <c r="I9" s="5">
        <f t="shared" si="1"/>
        <v>-621.53</v>
      </c>
      <c r="J9" s="5">
        <f t="shared" si="2"/>
        <v>71850.543000000005</v>
      </c>
      <c r="K9" s="5">
        <v>13934.63</v>
      </c>
      <c r="L9">
        <v>2647.5796999999998</v>
      </c>
      <c r="M9" s="5">
        <v>1731.62</v>
      </c>
    </row>
    <row r="10" spans="1:13" x14ac:dyDescent="0.3">
      <c r="B10">
        <v>8</v>
      </c>
      <c r="C10" t="s">
        <v>29</v>
      </c>
      <c r="D10" s="5">
        <v>2079.8000000000002</v>
      </c>
      <c r="E10" s="5">
        <v>19.07</v>
      </c>
      <c r="F10" s="5">
        <f t="shared" si="0"/>
        <v>39661.786000000007</v>
      </c>
      <c r="G10" s="5">
        <v>1979.03</v>
      </c>
      <c r="H10" s="5">
        <v>1612.58</v>
      </c>
      <c r="I10" s="5">
        <f t="shared" si="1"/>
        <v>366.45000000000005</v>
      </c>
      <c r="J10" s="5">
        <f t="shared" si="2"/>
        <v>36070.176000000007</v>
      </c>
      <c r="K10" s="5">
        <v>15347.02</v>
      </c>
      <c r="L10">
        <v>3069.4040000000005</v>
      </c>
      <c r="M10" s="5">
        <v>1799.45</v>
      </c>
    </row>
    <row r="11" spans="1:13" x14ac:dyDescent="0.3">
      <c r="B11">
        <v>9</v>
      </c>
      <c r="C11" t="s">
        <v>30</v>
      </c>
      <c r="D11" s="5">
        <v>1080.8499999999999</v>
      </c>
      <c r="E11" s="5">
        <v>33.58</v>
      </c>
      <c r="F11" s="5">
        <f t="shared" si="0"/>
        <v>36294.942999999992</v>
      </c>
      <c r="G11" s="5">
        <v>971.5</v>
      </c>
      <c r="H11" s="5">
        <v>883.2</v>
      </c>
      <c r="I11" s="5">
        <f t="shared" si="1"/>
        <v>88.299999999999955</v>
      </c>
      <c r="J11" s="5">
        <f t="shared" si="2"/>
        <v>34440.242999999995</v>
      </c>
      <c r="K11" s="5">
        <v>15272.3</v>
      </c>
      <c r="L11">
        <v>2596.2910000000002</v>
      </c>
      <c r="M11" s="5">
        <v>1385.8</v>
      </c>
    </row>
    <row r="12" spans="1:13" x14ac:dyDescent="0.3">
      <c r="B12">
        <v>10</v>
      </c>
      <c r="C12" t="s">
        <v>31</v>
      </c>
      <c r="D12" s="5">
        <v>4202.2</v>
      </c>
      <c r="E12" s="5">
        <v>6.23</v>
      </c>
      <c r="F12" s="5">
        <f t="shared" si="0"/>
        <v>26179.706000000002</v>
      </c>
      <c r="G12" s="5">
        <v>169.1</v>
      </c>
      <c r="H12" s="5">
        <v>1606.39</v>
      </c>
      <c r="I12" s="5">
        <f t="shared" si="1"/>
        <v>-1437.2900000000002</v>
      </c>
      <c r="J12" s="5">
        <f t="shared" si="2"/>
        <v>24404.216000000004</v>
      </c>
      <c r="K12" s="5">
        <v>3672.01</v>
      </c>
      <c r="L12">
        <v>881.28240000000005</v>
      </c>
      <c r="M12" s="5">
        <v>580.5</v>
      </c>
    </row>
    <row r="13" spans="1:13" x14ac:dyDescent="0.3">
      <c r="D13" s="5"/>
      <c r="E13" s="5"/>
      <c r="F13" s="5"/>
      <c r="G13" s="5"/>
      <c r="H13" s="5"/>
      <c r="I13" s="5"/>
      <c r="J13" s="5"/>
      <c r="K13" s="5"/>
      <c r="M13" s="5"/>
    </row>
    <row r="14" spans="1:13" x14ac:dyDescent="0.3">
      <c r="D14" s="5"/>
      <c r="E14" s="5"/>
      <c r="F14" s="5"/>
      <c r="G14" s="5"/>
      <c r="H14" s="5"/>
      <c r="I14" s="5"/>
      <c r="J14" s="5"/>
      <c r="K14" s="5"/>
      <c r="M14" s="5"/>
    </row>
    <row r="15" spans="1:13" x14ac:dyDescent="0.3">
      <c r="D15" s="5"/>
      <c r="E15" s="5"/>
      <c r="F15" s="5"/>
      <c r="G15" s="5"/>
      <c r="H15" s="5"/>
      <c r="I15" s="5"/>
      <c r="J15" s="5"/>
      <c r="K15" s="5"/>
      <c r="M15" s="5"/>
    </row>
    <row r="16" spans="1:13" x14ac:dyDescent="0.3">
      <c r="D16" s="5"/>
      <c r="E16" s="5"/>
      <c r="F16" s="5"/>
      <c r="G16" s="5"/>
      <c r="H16" s="5"/>
      <c r="I16" s="5"/>
      <c r="J16" s="5"/>
      <c r="K16" s="5"/>
      <c r="M16" s="5"/>
    </row>
    <row r="17" spans="4:13" x14ac:dyDescent="0.3">
      <c r="D17" s="5"/>
      <c r="E17" s="5"/>
      <c r="F17" s="5"/>
      <c r="G17" s="5"/>
      <c r="H17" s="5"/>
      <c r="I17" s="5"/>
      <c r="J17" s="5"/>
      <c r="K17" s="5"/>
      <c r="M1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Comps_Val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Arjit Uttam</dc:creator>
  <cp:lastModifiedBy>Arjit Uttam</cp:lastModifiedBy>
  <dcterms:created xsi:type="dcterms:W3CDTF">2026-03-16T11:35:29Z</dcterms:created>
  <dcterms:modified xsi:type="dcterms:W3CDTF">2026-03-16T12:59:57Z</dcterms:modified>
</cp:coreProperties>
</file>