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JIT\Downloads\Hindustan Uniliver Financial Model\"/>
    </mc:Choice>
  </mc:AlternateContent>
  <xr:revisionPtr revIDLastSave="0" documentId="13_ncr:1_{6EB767D3-0553-4DE5-AD35-2E10CC06130F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Financials&gt;" sheetId="7" r:id="rId1"/>
    <sheet name="HistoricalFS" sheetId="18" r:id="rId2"/>
    <sheet name="Forecasting " sheetId="23" r:id="rId3"/>
    <sheet name="Ratio Analysis " sheetId="20" r:id="rId4"/>
    <sheet name="Common Size Statement " sheetId="21" r:id="rId5"/>
    <sheet name="Data&gt;" sheetId="9" r:id="rId6"/>
    <sheet name="Data Sheet" sheetId="6" r:id="rId7"/>
    <sheet name="Cash Flow Data" sheetId="19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3" l="1"/>
  <c r="D14" i="23"/>
  <c r="I7" i="20"/>
  <c r="M6" i="18"/>
  <c r="B2" i="18" l="1"/>
  <c r="L40" i="21"/>
  <c r="K40" i="21"/>
  <c r="J40" i="21"/>
  <c r="I40" i="21"/>
  <c r="H40" i="21"/>
  <c r="G40" i="21"/>
  <c r="F40" i="21"/>
  <c r="E40" i="21"/>
  <c r="D40" i="21"/>
  <c r="L39" i="21"/>
  <c r="K39" i="21"/>
  <c r="J39" i="21"/>
  <c r="I39" i="21"/>
  <c r="H39" i="21"/>
  <c r="G39" i="21"/>
  <c r="F39" i="21"/>
  <c r="E39" i="21"/>
  <c r="D39" i="21"/>
  <c r="L38" i="21"/>
  <c r="K38" i="21"/>
  <c r="J38" i="21"/>
  <c r="I38" i="21"/>
  <c r="H38" i="21"/>
  <c r="G38" i="21"/>
  <c r="F38" i="21"/>
  <c r="E38" i="21"/>
  <c r="D38" i="21"/>
  <c r="L37" i="21"/>
  <c r="K37" i="21"/>
  <c r="J37" i="21"/>
  <c r="I37" i="21"/>
  <c r="H37" i="21"/>
  <c r="G37" i="21"/>
  <c r="F37" i="21"/>
  <c r="E37" i="21"/>
  <c r="D37" i="21"/>
  <c r="L36" i="21"/>
  <c r="K36" i="21"/>
  <c r="J36" i="21"/>
  <c r="I36" i="21"/>
  <c r="H36" i="21"/>
  <c r="G36" i="21"/>
  <c r="F36" i="21"/>
  <c r="E36" i="21"/>
  <c r="D36" i="21"/>
  <c r="L35" i="21"/>
  <c r="K35" i="21"/>
  <c r="J35" i="21"/>
  <c r="I35" i="21"/>
  <c r="H35" i="21"/>
  <c r="G35" i="21"/>
  <c r="F35" i="21"/>
  <c r="E35" i="21"/>
  <c r="D35" i="21"/>
  <c r="L34" i="21"/>
  <c r="K34" i="21"/>
  <c r="J34" i="21"/>
  <c r="I34" i="21"/>
  <c r="H34" i="21"/>
  <c r="G34" i="21"/>
  <c r="F34" i="21"/>
  <c r="E34" i="21"/>
  <c r="D34" i="21"/>
  <c r="L33" i="21"/>
  <c r="K33" i="21"/>
  <c r="J33" i="21"/>
  <c r="I33" i="21"/>
  <c r="H33" i="21"/>
  <c r="G33" i="21"/>
  <c r="F33" i="21"/>
  <c r="E33" i="21"/>
  <c r="D33" i="21"/>
  <c r="C40" i="21"/>
  <c r="C39" i="21"/>
  <c r="C38" i="21"/>
  <c r="C37" i="21"/>
  <c r="C36" i="21"/>
  <c r="C35" i="21"/>
  <c r="C34" i="21"/>
  <c r="C33" i="21"/>
  <c r="K74" i="6"/>
  <c r="J74" i="6"/>
  <c r="I74" i="6"/>
  <c r="H74" i="6"/>
  <c r="G74" i="6"/>
  <c r="F74" i="6"/>
  <c r="E74" i="6"/>
  <c r="D74" i="6"/>
  <c r="C74" i="6"/>
  <c r="B74" i="6"/>
  <c r="K76" i="6"/>
  <c r="J76" i="6"/>
  <c r="I76" i="6"/>
  <c r="H76" i="6"/>
  <c r="G76" i="6"/>
  <c r="F76" i="6"/>
  <c r="E76" i="6"/>
  <c r="D76" i="6"/>
  <c r="C76" i="6"/>
  <c r="B76" i="6"/>
  <c r="L31" i="21"/>
  <c r="K31" i="21"/>
  <c r="J31" i="21"/>
  <c r="I31" i="21"/>
  <c r="H31" i="21"/>
  <c r="G31" i="21"/>
  <c r="F31" i="21"/>
  <c r="E31" i="21"/>
  <c r="D31" i="21"/>
  <c r="C31" i="21"/>
  <c r="L30" i="21"/>
  <c r="K30" i="21"/>
  <c r="J30" i="21"/>
  <c r="I30" i="21"/>
  <c r="H30" i="21"/>
  <c r="G30" i="21"/>
  <c r="F30" i="21"/>
  <c r="E30" i="21"/>
  <c r="D30" i="21"/>
  <c r="C30" i="21"/>
  <c r="L29" i="21"/>
  <c r="K29" i="21"/>
  <c r="J29" i="21"/>
  <c r="I29" i="21"/>
  <c r="H29" i="21"/>
  <c r="G29" i="21"/>
  <c r="F29" i="21"/>
  <c r="E29" i="21"/>
  <c r="D29" i="21"/>
  <c r="C29" i="21"/>
  <c r="L28" i="21"/>
  <c r="K28" i="21"/>
  <c r="J28" i="21"/>
  <c r="I28" i="21"/>
  <c r="H28" i="21"/>
  <c r="G28" i="21"/>
  <c r="F28" i="21"/>
  <c r="E28" i="21"/>
  <c r="D28" i="21"/>
  <c r="C28" i="21"/>
  <c r="L27" i="21"/>
  <c r="K27" i="21"/>
  <c r="J27" i="21"/>
  <c r="I27" i="21"/>
  <c r="H27" i="21"/>
  <c r="G27" i="21"/>
  <c r="F27" i="21"/>
  <c r="E27" i="21"/>
  <c r="D27" i="21"/>
  <c r="C27" i="21"/>
  <c r="C4" i="21"/>
  <c r="C25" i="21" s="1"/>
  <c r="D4" i="21"/>
  <c r="D25" i="21" s="1"/>
  <c r="E4" i="21"/>
  <c r="E25" i="21" s="1"/>
  <c r="F4" i="21"/>
  <c r="F25" i="21" s="1"/>
  <c r="G4" i="21"/>
  <c r="G25" i="21" s="1"/>
  <c r="H4" i="21"/>
  <c r="H25" i="21" s="1"/>
  <c r="I4" i="21"/>
  <c r="I25" i="21" s="1"/>
  <c r="J4" i="21"/>
  <c r="J25" i="21" s="1"/>
  <c r="K4" i="21"/>
  <c r="K25" i="21" s="1"/>
  <c r="L4" i="21"/>
  <c r="L25" i="21" s="1"/>
  <c r="B39" i="21"/>
  <c r="B40" i="21"/>
  <c r="B38" i="21"/>
  <c r="B37" i="21"/>
  <c r="B36" i="21"/>
  <c r="B35" i="21"/>
  <c r="B34" i="21"/>
  <c r="B31" i="21"/>
  <c r="B30" i="21"/>
  <c r="B29" i="21"/>
  <c r="B28" i="21"/>
  <c r="B23" i="21"/>
  <c r="B20" i="21"/>
  <c r="C20" i="21"/>
  <c r="D20" i="21"/>
  <c r="E20" i="21"/>
  <c r="F20" i="21"/>
  <c r="G20" i="21"/>
  <c r="H20" i="21"/>
  <c r="I20" i="21"/>
  <c r="J20" i="21"/>
  <c r="K20" i="21"/>
  <c r="L20" i="21"/>
  <c r="L21" i="21"/>
  <c r="K21" i="21"/>
  <c r="J21" i="21"/>
  <c r="I21" i="21"/>
  <c r="H21" i="21"/>
  <c r="G21" i="21"/>
  <c r="F21" i="21"/>
  <c r="E21" i="21"/>
  <c r="D21" i="21"/>
  <c r="C21" i="21"/>
  <c r="L19" i="21"/>
  <c r="K19" i="21"/>
  <c r="J19" i="21"/>
  <c r="I19" i="21"/>
  <c r="H19" i="21"/>
  <c r="G19" i="21"/>
  <c r="F19" i="21"/>
  <c r="E19" i="21"/>
  <c r="D19" i="21"/>
  <c r="C19" i="21"/>
  <c r="L18" i="21"/>
  <c r="K18" i="21"/>
  <c r="J18" i="21"/>
  <c r="I18" i="21"/>
  <c r="H18" i="21"/>
  <c r="G18" i="21"/>
  <c r="F18" i="21"/>
  <c r="E18" i="21"/>
  <c r="D18" i="21"/>
  <c r="C18" i="21"/>
  <c r="L17" i="21"/>
  <c r="K17" i="21"/>
  <c r="J17" i="21"/>
  <c r="I17" i="21"/>
  <c r="H17" i="21"/>
  <c r="G17" i="21"/>
  <c r="F17" i="21"/>
  <c r="E17" i="21"/>
  <c r="D17" i="21"/>
  <c r="C17" i="21"/>
  <c r="L16" i="21"/>
  <c r="K16" i="21"/>
  <c r="J16" i="21"/>
  <c r="I16" i="21"/>
  <c r="H16" i="21"/>
  <c r="G16" i="21"/>
  <c r="F16" i="21"/>
  <c r="E16" i="21"/>
  <c r="D16" i="21"/>
  <c r="C16" i="21"/>
  <c r="L15" i="21"/>
  <c r="K15" i="21"/>
  <c r="J15" i="21"/>
  <c r="I15" i="21"/>
  <c r="H15" i="21"/>
  <c r="G15" i="21"/>
  <c r="F15" i="21"/>
  <c r="E15" i="21"/>
  <c r="D15" i="21"/>
  <c r="C15" i="21"/>
  <c r="L14" i="21"/>
  <c r="K14" i="21"/>
  <c r="J14" i="21"/>
  <c r="I14" i="21"/>
  <c r="H14" i="21"/>
  <c r="G14" i="21"/>
  <c r="F14" i="21"/>
  <c r="E14" i="21"/>
  <c r="D14" i="21"/>
  <c r="C14" i="21"/>
  <c r="L13" i="21"/>
  <c r="K13" i="21"/>
  <c r="J13" i="21"/>
  <c r="I13" i="21"/>
  <c r="H13" i="21"/>
  <c r="G13" i="21"/>
  <c r="F13" i="21"/>
  <c r="E13" i="21"/>
  <c r="D13" i="21"/>
  <c r="C13" i="21"/>
  <c r="L12" i="21"/>
  <c r="K12" i="21"/>
  <c r="J12" i="21"/>
  <c r="I12" i="21"/>
  <c r="H12" i="21"/>
  <c r="G12" i="21"/>
  <c r="F12" i="21"/>
  <c r="E12" i="21"/>
  <c r="D12" i="21"/>
  <c r="C12" i="21"/>
  <c r="L11" i="21"/>
  <c r="K11" i="21"/>
  <c r="J11" i="21"/>
  <c r="I11" i="21"/>
  <c r="H11" i="21"/>
  <c r="G11" i="21"/>
  <c r="F11" i="21"/>
  <c r="E11" i="21"/>
  <c r="D11" i="21"/>
  <c r="C11" i="21"/>
  <c r="L10" i="21"/>
  <c r="K10" i="21"/>
  <c r="J10" i="21"/>
  <c r="I10" i="21"/>
  <c r="H10" i="21"/>
  <c r="G10" i="21"/>
  <c r="F10" i="21"/>
  <c r="E10" i="21"/>
  <c r="D10" i="21"/>
  <c r="C10" i="21"/>
  <c r="L9" i="21"/>
  <c r="K9" i="21"/>
  <c r="J9" i="21"/>
  <c r="I9" i="21"/>
  <c r="H9" i="21"/>
  <c r="G9" i="21"/>
  <c r="F9" i="21"/>
  <c r="E9" i="21"/>
  <c r="D9" i="21"/>
  <c r="C9" i="21"/>
  <c r="L8" i="21"/>
  <c r="K8" i="21"/>
  <c r="J8" i="21"/>
  <c r="I8" i="21"/>
  <c r="H8" i="21"/>
  <c r="G8" i="21"/>
  <c r="F8" i="21"/>
  <c r="E8" i="21"/>
  <c r="D8" i="21"/>
  <c r="C8" i="21"/>
  <c r="L7" i="21"/>
  <c r="K7" i="21"/>
  <c r="J7" i="21"/>
  <c r="I7" i="21"/>
  <c r="H7" i="21"/>
  <c r="G7" i="21"/>
  <c r="F7" i="21"/>
  <c r="E7" i="21"/>
  <c r="D7" i="21"/>
  <c r="C7" i="21"/>
  <c r="L6" i="21"/>
  <c r="K6" i="21"/>
  <c r="J6" i="21"/>
  <c r="I6" i="21"/>
  <c r="H6" i="21"/>
  <c r="G6" i="21"/>
  <c r="F6" i="21"/>
  <c r="E6" i="21"/>
  <c r="D6" i="21"/>
  <c r="C6" i="21"/>
  <c r="B21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2" i="21"/>
  <c r="N18" i="23"/>
  <c r="N17" i="23"/>
  <c r="N16" i="23"/>
  <c r="N15" i="23"/>
  <c r="N14" i="23"/>
  <c r="N4" i="23" a="1"/>
  <c r="N5" i="23" s="1"/>
  <c r="L2" i="23"/>
  <c r="L5" i="23"/>
  <c r="L6" i="23" s="1"/>
  <c r="L7" i="23" s="1"/>
  <c r="L8" i="23" s="1"/>
  <c r="L9" i="23" s="1"/>
  <c r="L10" i="23" s="1"/>
  <c r="L11" i="23" s="1"/>
  <c r="L12" i="23" s="1"/>
  <c r="L13" i="23" s="1"/>
  <c r="L14" i="23" s="1"/>
  <c r="M4" i="23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I18" i="23"/>
  <c r="I17" i="23"/>
  <c r="I16" i="23"/>
  <c r="I15" i="23"/>
  <c r="I4" i="23" a="1"/>
  <c r="I4" i="23" s="1"/>
  <c r="H4" i="23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C5" i="23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4" i="23"/>
  <c r="G2" i="23"/>
  <c r="B2" i="23"/>
  <c r="G5" i="23"/>
  <c r="G6" i="23" s="1"/>
  <c r="G7" i="23" s="1"/>
  <c r="G8" i="23" s="1"/>
  <c r="G9" i="23" s="1"/>
  <c r="G10" i="23" s="1"/>
  <c r="G11" i="23" s="1"/>
  <c r="G12" i="23" s="1"/>
  <c r="G13" i="23" s="1"/>
  <c r="G14" i="23" s="1"/>
  <c r="E18" i="23"/>
  <c r="E17" i="23"/>
  <c r="E16" i="23"/>
  <c r="E15" i="23"/>
  <c r="E14" i="23"/>
  <c r="D18" i="23"/>
  <c r="D17" i="23"/>
  <c r="D16" i="23"/>
  <c r="D15" i="23"/>
  <c r="E13" i="23"/>
  <c r="E12" i="23"/>
  <c r="E11" i="23"/>
  <c r="E10" i="23"/>
  <c r="E9" i="23"/>
  <c r="E8" i="23"/>
  <c r="E7" i="23"/>
  <c r="E6" i="23"/>
  <c r="E5" i="23"/>
  <c r="D4" i="23" a="1"/>
  <c r="D4" i="23" s="1"/>
  <c r="B5" i="23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N4" i="23" l="1"/>
  <c r="N13" i="23"/>
  <c r="N12" i="23"/>
  <c r="N11" i="23"/>
  <c r="N6" i="23"/>
  <c r="O6" i="23" s="1"/>
  <c r="N10" i="23"/>
  <c r="O10" i="23" s="1"/>
  <c r="N9" i="23"/>
  <c r="O9" i="23" s="1"/>
  <c r="N8" i="23"/>
  <c r="N7" i="23"/>
  <c r="O7" i="23" s="1"/>
  <c r="L15" i="23"/>
  <c r="O13" i="23"/>
  <c r="O5" i="23"/>
  <c r="O11" i="23"/>
  <c r="I13" i="23"/>
  <c r="I12" i="23"/>
  <c r="I11" i="23"/>
  <c r="J11" i="23" s="1"/>
  <c r="I10" i="23"/>
  <c r="I9" i="23"/>
  <c r="I8" i="23"/>
  <c r="I7" i="23"/>
  <c r="I6" i="23"/>
  <c r="J6" i="23" s="1"/>
  <c r="I5" i="23"/>
  <c r="J5" i="23" s="1"/>
  <c r="J9" i="23"/>
  <c r="J14" i="23"/>
  <c r="G15" i="23"/>
  <c r="J7" i="23"/>
  <c r="D6" i="23"/>
  <c r="D13" i="23"/>
  <c r="D12" i="23"/>
  <c r="D11" i="23"/>
  <c r="D10" i="23"/>
  <c r="D9" i="23"/>
  <c r="D8" i="23"/>
  <c r="D7" i="23"/>
  <c r="D5" i="23"/>
  <c r="B17" i="23"/>
  <c r="O7" i="20"/>
  <c r="O6" i="20"/>
  <c r="O5" i="20"/>
  <c r="L3" i="20"/>
  <c r="O33" i="20"/>
  <c r="O38" i="20"/>
  <c r="O40" i="20"/>
  <c r="O39" i="20"/>
  <c r="O36" i="20"/>
  <c r="O35" i="20"/>
  <c r="O34" i="20"/>
  <c r="O31" i="20"/>
  <c r="O30" i="20"/>
  <c r="O29" i="20"/>
  <c r="O28" i="20"/>
  <c r="O27" i="20"/>
  <c r="O25" i="20"/>
  <c r="O24" i="20"/>
  <c r="O23" i="20"/>
  <c r="O22" i="20"/>
  <c r="O21" i="20"/>
  <c r="O19" i="20"/>
  <c r="O18" i="20"/>
  <c r="O17" i="20"/>
  <c r="O15" i="20"/>
  <c r="O14" i="20"/>
  <c r="O13" i="20"/>
  <c r="O12" i="20"/>
  <c r="O11" i="20"/>
  <c r="O9" i="20"/>
  <c r="O8" i="20"/>
  <c r="N40" i="20"/>
  <c r="N39" i="20"/>
  <c r="N38" i="20"/>
  <c r="N36" i="20"/>
  <c r="N35" i="20"/>
  <c r="N34" i="20"/>
  <c r="N33" i="20"/>
  <c r="N31" i="20"/>
  <c r="N30" i="20"/>
  <c r="N29" i="20"/>
  <c r="N28" i="20"/>
  <c r="N27" i="20"/>
  <c r="N25" i="20"/>
  <c r="N24" i="20"/>
  <c r="N23" i="20"/>
  <c r="N22" i="20"/>
  <c r="N21" i="20"/>
  <c r="N19" i="20"/>
  <c r="N18" i="20"/>
  <c r="N17" i="20"/>
  <c r="N15" i="20"/>
  <c r="N14" i="20"/>
  <c r="N13" i="20"/>
  <c r="N12" i="20"/>
  <c r="N11" i="20"/>
  <c r="N9" i="20"/>
  <c r="N8" i="20"/>
  <c r="N7" i="20"/>
  <c r="N6" i="20"/>
  <c r="N5" i="20"/>
  <c r="D38" i="20"/>
  <c r="L40" i="20"/>
  <c r="K40" i="20"/>
  <c r="J40" i="20"/>
  <c r="I40" i="20"/>
  <c r="H40" i="20"/>
  <c r="G40" i="20"/>
  <c r="F40" i="20"/>
  <c r="E40" i="20"/>
  <c r="D40" i="20"/>
  <c r="L39" i="20"/>
  <c r="K39" i="20"/>
  <c r="J39" i="20"/>
  <c r="I39" i="20"/>
  <c r="H39" i="20"/>
  <c r="G39" i="20"/>
  <c r="F39" i="20"/>
  <c r="E39" i="20"/>
  <c r="D39" i="20"/>
  <c r="L38" i="20"/>
  <c r="K38" i="20"/>
  <c r="J38" i="20"/>
  <c r="I38" i="20"/>
  <c r="H38" i="20"/>
  <c r="G38" i="20"/>
  <c r="F38" i="20"/>
  <c r="E38" i="20"/>
  <c r="C40" i="20"/>
  <c r="C39" i="20"/>
  <c r="C38" i="20"/>
  <c r="L35" i="20"/>
  <c r="K35" i="20"/>
  <c r="J35" i="20"/>
  <c r="I35" i="20"/>
  <c r="H35" i="20"/>
  <c r="G35" i="20"/>
  <c r="L34" i="20"/>
  <c r="K34" i="20"/>
  <c r="J34" i="20"/>
  <c r="I34" i="20"/>
  <c r="H34" i="20"/>
  <c r="G34" i="20"/>
  <c r="F34" i="20"/>
  <c r="E34" i="20"/>
  <c r="D34" i="20"/>
  <c r="I33" i="20"/>
  <c r="H33" i="20"/>
  <c r="G33" i="20"/>
  <c r="F33" i="20"/>
  <c r="E33" i="20"/>
  <c r="D33" i="20"/>
  <c r="L31" i="20"/>
  <c r="K31" i="20"/>
  <c r="J31" i="20"/>
  <c r="I31" i="20"/>
  <c r="H31" i="20"/>
  <c r="G31" i="20"/>
  <c r="F31" i="20"/>
  <c r="E31" i="20"/>
  <c r="D31" i="20"/>
  <c r="L30" i="20"/>
  <c r="K30" i="20"/>
  <c r="J30" i="20"/>
  <c r="I30" i="20"/>
  <c r="H30" i="20"/>
  <c r="G30" i="20"/>
  <c r="F30" i="20"/>
  <c r="E30" i="20"/>
  <c r="D30" i="20"/>
  <c r="L29" i="20"/>
  <c r="K29" i="20"/>
  <c r="J29" i="20"/>
  <c r="I29" i="20"/>
  <c r="H29" i="20"/>
  <c r="G29" i="20"/>
  <c r="F29" i="20"/>
  <c r="F35" i="20" s="1"/>
  <c r="E29" i="20"/>
  <c r="E35" i="20" s="1"/>
  <c r="D29" i="20"/>
  <c r="D35" i="20" s="1"/>
  <c r="L28" i="20"/>
  <c r="K28" i="20"/>
  <c r="J28" i="20"/>
  <c r="I28" i="20"/>
  <c r="H28" i="20"/>
  <c r="G28" i="20"/>
  <c r="F28" i="20"/>
  <c r="E28" i="20"/>
  <c r="D28" i="20"/>
  <c r="L27" i="20"/>
  <c r="L33" i="20" s="1"/>
  <c r="K27" i="20"/>
  <c r="K33" i="20" s="1"/>
  <c r="J27" i="20"/>
  <c r="J33" i="20" s="1"/>
  <c r="I27" i="20"/>
  <c r="H27" i="20"/>
  <c r="G27" i="20"/>
  <c r="F27" i="20"/>
  <c r="E27" i="20"/>
  <c r="D27" i="20"/>
  <c r="C31" i="20"/>
  <c r="C30" i="20"/>
  <c r="C29" i="20"/>
  <c r="C35" i="20" s="1"/>
  <c r="C27" i="20"/>
  <c r="C33" i="20" s="1"/>
  <c r="C28" i="20"/>
  <c r="C34" i="20" s="1"/>
  <c r="L25" i="20"/>
  <c r="K25" i="20"/>
  <c r="J25" i="20"/>
  <c r="I25" i="20"/>
  <c r="H25" i="20"/>
  <c r="G25" i="20"/>
  <c r="F25" i="20"/>
  <c r="E25" i="20"/>
  <c r="D25" i="20"/>
  <c r="K24" i="20"/>
  <c r="H24" i="20"/>
  <c r="C25" i="20"/>
  <c r="L23" i="20"/>
  <c r="K23" i="20"/>
  <c r="J23" i="20"/>
  <c r="I23" i="20"/>
  <c r="H23" i="20"/>
  <c r="G23" i="20"/>
  <c r="F23" i="20"/>
  <c r="E23" i="20"/>
  <c r="D23" i="20"/>
  <c r="L22" i="20"/>
  <c r="L24" i="20" s="1"/>
  <c r="K22" i="20"/>
  <c r="J22" i="20"/>
  <c r="I22" i="20"/>
  <c r="H22" i="20"/>
  <c r="G22" i="20"/>
  <c r="G24" i="20" s="1"/>
  <c r="F22" i="20"/>
  <c r="E22" i="20"/>
  <c r="D22" i="20"/>
  <c r="L21" i="20"/>
  <c r="K21" i="20"/>
  <c r="J21" i="20"/>
  <c r="I21" i="20"/>
  <c r="H21" i="20"/>
  <c r="G21" i="20"/>
  <c r="F21" i="20"/>
  <c r="E21" i="20"/>
  <c r="D21" i="20"/>
  <c r="C21" i="20"/>
  <c r="C23" i="20"/>
  <c r="C22" i="20"/>
  <c r="C24" i="20" s="1"/>
  <c r="L18" i="20"/>
  <c r="K18" i="20"/>
  <c r="J18" i="20"/>
  <c r="I18" i="20"/>
  <c r="H18" i="20"/>
  <c r="G18" i="20"/>
  <c r="F18" i="20"/>
  <c r="E18" i="20"/>
  <c r="D18" i="20"/>
  <c r="C18" i="20"/>
  <c r="L17" i="20"/>
  <c r="K17" i="20"/>
  <c r="J17" i="20"/>
  <c r="I17" i="20"/>
  <c r="H17" i="20"/>
  <c r="G17" i="20"/>
  <c r="F17" i="20"/>
  <c r="E17" i="20"/>
  <c r="D17" i="20"/>
  <c r="C17" i="20"/>
  <c r="O8" i="23" l="1"/>
  <c r="O14" i="23"/>
  <c r="O15" i="23"/>
  <c r="L16" i="23"/>
  <c r="O12" i="23"/>
  <c r="J12" i="23"/>
  <c r="J10" i="23"/>
  <c r="J13" i="23"/>
  <c r="G16" i="23"/>
  <c r="J15" i="23"/>
  <c r="J8" i="23"/>
  <c r="B18" i="23"/>
  <c r="C36" i="20"/>
  <c r="F36" i="20"/>
  <c r="F24" i="20"/>
  <c r="I24" i="20"/>
  <c r="D36" i="20"/>
  <c r="H36" i="20"/>
  <c r="E24" i="20"/>
  <c r="K36" i="20"/>
  <c r="J24" i="20"/>
  <c r="G36" i="20"/>
  <c r="D24" i="20"/>
  <c r="E36" i="20"/>
  <c r="I36" i="20"/>
  <c r="J36" i="20"/>
  <c r="L36" i="20"/>
  <c r="M27" i="18"/>
  <c r="L7" i="20"/>
  <c r="K7" i="20"/>
  <c r="J7" i="20"/>
  <c r="H7" i="20"/>
  <c r="G7" i="20"/>
  <c r="F7" i="20"/>
  <c r="E7" i="20"/>
  <c r="D7" i="20"/>
  <c r="L13" i="20"/>
  <c r="L19" i="20" s="1"/>
  <c r="K13" i="20"/>
  <c r="K19" i="20" s="1"/>
  <c r="J13" i="20"/>
  <c r="J19" i="20" s="1"/>
  <c r="I13" i="20"/>
  <c r="I19" i="20" s="1"/>
  <c r="H13" i="20"/>
  <c r="H19" i="20" s="1"/>
  <c r="G13" i="20"/>
  <c r="G19" i="20" s="1"/>
  <c r="F13" i="20"/>
  <c r="F19" i="20" s="1"/>
  <c r="E13" i="20"/>
  <c r="E19" i="20" s="1"/>
  <c r="D13" i="20"/>
  <c r="D19" i="20" s="1"/>
  <c r="C13" i="20"/>
  <c r="C19" i="20" s="1"/>
  <c r="L15" i="20"/>
  <c r="K15" i="20"/>
  <c r="J15" i="20"/>
  <c r="I15" i="20"/>
  <c r="H15" i="20"/>
  <c r="G15" i="20"/>
  <c r="F15" i="20"/>
  <c r="E15" i="20"/>
  <c r="D15" i="20"/>
  <c r="C15" i="20"/>
  <c r="L14" i="20"/>
  <c r="K14" i="20"/>
  <c r="J14" i="20"/>
  <c r="I14" i="20"/>
  <c r="H14" i="20"/>
  <c r="G14" i="20"/>
  <c r="F14" i="20"/>
  <c r="E14" i="20"/>
  <c r="D14" i="20"/>
  <c r="C14" i="20"/>
  <c r="L12" i="20"/>
  <c r="K12" i="20"/>
  <c r="J12" i="20"/>
  <c r="I12" i="20"/>
  <c r="H12" i="20"/>
  <c r="G12" i="20"/>
  <c r="F12" i="20"/>
  <c r="E12" i="20"/>
  <c r="D12" i="20"/>
  <c r="L11" i="20"/>
  <c r="K11" i="20"/>
  <c r="J11" i="20"/>
  <c r="I11" i="20"/>
  <c r="H11" i="20"/>
  <c r="G11" i="20"/>
  <c r="F11" i="20"/>
  <c r="E11" i="20"/>
  <c r="D11" i="20"/>
  <c r="C12" i="20"/>
  <c r="C11" i="20"/>
  <c r="L9" i="20"/>
  <c r="K9" i="20"/>
  <c r="J9" i="20"/>
  <c r="I9" i="20"/>
  <c r="H9" i="20"/>
  <c r="G9" i="20"/>
  <c r="F9" i="20"/>
  <c r="E9" i="20"/>
  <c r="D9" i="20"/>
  <c r="L8" i="20"/>
  <c r="K8" i="20"/>
  <c r="J8" i="20"/>
  <c r="I8" i="20"/>
  <c r="H8" i="20"/>
  <c r="G8" i="20"/>
  <c r="F8" i="20"/>
  <c r="E8" i="20"/>
  <c r="D8" i="20"/>
  <c r="L6" i="20"/>
  <c r="K6" i="20"/>
  <c r="J6" i="20"/>
  <c r="I6" i="20"/>
  <c r="H6" i="20"/>
  <c r="G6" i="20"/>
  <c r="F6" i="20"/>
  <c r="E6" i="20"/>
  <c r="D6" i="20"/>
  <c r="L5" i="20"/>
  <c r="K5" i="20"/>
  <c r="J5" i="20"/>
  <c r="I5" i="20"/>
  <c r="H5" i="20"/>
  <c r="G5" i="20"/>
  <c r="F5" i="20"/>
  <c r="E5" i="20"/>
  <c r="D5" i="20"/>
  <c r="L34" i="18"/>
  <c r="K34" i="18"/>
  <c r="J34" i="18"/>
  <c r="I34" i="18"/>
  <c r="H34" i="18"/>
  <c r="G34" i="18"/>
  <c r="F34" i="18"/>
  <c r="E34" i="18"/>
  <c r="D34" i="18"/>
  <c r="C34" i="18"/>
  <c r="M31" i="18"/>
  <c r="L31" i="18"/>
  <c r="K31" i="18"/>
  <c r="J31" i="18"/>
  <c r="I31" i="18"/>
  <c r="H31" i="18"/>
  <c r="G31" i="18"/>
  <c r="F31" i="18"/>
  <c r="E31" i="18"/>
  <c r="D31" i="18"/>
  <c r="C31" i="18"/>
  <c r="M28" i="18"/>
  <c r="L28" i="18"/>
  <c r="K28" i="18"/>
  <c r="J28" i="18"/>
  <c r="I28" i="18"/>
  <c r="H28" i="18"/>
  <c r="G28" i="18"/>
  <c r="F28" i="18"/>
  <c r="E28" i="18"/>
  <c r="D28" i="18"/>
  <c r="C28" i="18"/>
  <c r="M25" i="18"/>
  <c r="L25" i="18"/>
  <c r="K25" i="18"/>
  <c r="J25" i="18"/>
  <c r="I25" i="18"/>
  <c r="H25" i="18"/>
  <c r="G25" i="18"/>
  <c r="F25" i="18"/>
  <c r="E25" i="18"/>
  <c r="D25" i="18"/>
  <c r="C25" i="18"/>
  <c r="M22" i="18"/>
  <c r="L22" i="18"/>
  <c r="K22" i="18"/>
  <c r="J22" i="18"/>
  <c r="I22" i="18"/>
  <c r="H22" i="18"/>
  <c r="G22" i="18"/>
  <c r="F22" i="18"/>
  <c r="E22" i="18"/>
  <c r="D22" i="18"/>
  <c r="C22" i="18"/>
  <c r="M19" i="18"/>
  <c r="L19" i="18"/>
  <c r="K19" i="18"/>
  <c r="J19" i="18"/>
  <c r="I19" i="18"/>
  <c r="H19" i="18"/>
  <c r="G19" i="18"/>
  <c r="F19" i="18"/>
  <c r="E19" i="18"/>
  <c r="D19" i="18"/>
  <c r="C19" i="18"/>
  <c r="M16" i="18"/>
  <c r="L16" i="18"/>
  <c r="K16" i="18"/>
  <c r="J16" i="18"/>
  <c r="I16" i="18"/>
  <c r="H16" i="18"/>
  <c r="G16" i="18"/>
  <c r="F16" i="18"/>
  <c r="E16" i="18"/>
  <c r="D16" i="18"/>
  <c r="C16" i="18"/>
  <c r="L13" i="18"/>
  <c r="K13" i="18"/>
  <c r="J13" i="18"/>
  <c r="I13" i="18"/>
  <c r="H13" i="18"/>
  <c r="G13" i="18"/>
  <c r="F13" i="18"/>
  <c r="E13" i="18"/>
  <c r="D13" i="18"/>
  <c r="C13" i="18"/>
  <c r="M10" i="18"/>
  <c r="L10" i="18"/>
  <c r="K10" i="18"/>
  <c r="J10" i="18"/>
  <c r="I10" i="18"/>
  <c r="H10" i="18"/>
  <c r="G10" i="18"/>
  <c r="F10" i="18"/>
  <c r="E10" i="18"/>
  <c r="D10" i="18"/>
  <c r="C10" i="18"/>
  <c r="M7" i="18"/>
  <c r="L7" i="18"/>
  <c r="K7" i="18"/>
  <c r="J7" i="18"/>
  <c r="I7" i="18"/>
  <c r="H7" i="18"/>
  <c r="G7" i="18"/>
  <c r="F7" i="18"/>
  <c r="E7" i="18"/>
  <c r="D7" i="18"/>
  <c r="B2" i="20"/>
  <c r="K3" i="20"/>
  <c r="J3" i="20"/>
  <c r="I3" i="20"/>
  <c r="H3" i="20"/>
  <c r="G3" i="20"/>
  <c r="F3" i="20"/>
  <c r="E3" i="20"/>
  <c r="D3" i="20"/>
  <c r="C3" i="20"/>
  <c r="L81" i="18"/>
  <c r="K81" i="18"/>
  <c r="J81" i="18"/>
  <c r="I81" i="18"/>
  <c r="H81" i="18"/>
  <c r="G81" i="18"/>
  <c r="F81" i="18"/>
  <c r="F107" i="18" s="1"/>
  <c r="E81" i="18"/>
  <c r="D81" i="18"/>
  <c r="D107" i="18" s="1"/>
  <c r="J107" i="18"/>
  <c r="I107" i="18"/>
  <c r="H107" i="18"/>
  <c r="G107" i="18"/>
  <c r="E107" i="18"/>
  <c r="C81" i="18"/>
  <c r="C107" i="18" s="1"/>
  <c r="L107" i="18"/>
  <c r="K107" i="18"/>
  <c r="K105" i="18"/>
  <c r="L105" i="18"/>
  <c r="J105" i="18"/>
  <c r="I105" i="18"/>
  <c r="H105" i="18"/>
  <c r="G105" i="18"/>
  <c r="F105" i="18"/>
  <c r="E105" i="18"/>
  <c r="D105" i="18"/>
  <c r="C98" i="18"/>
  <c r="C105" i="18"/>
  <c r="L104" i="18"/>
  <c r="K104" i="18"/>
  <c r="J104" i="18"/>
  <c r="I104" i="18"/>
  <c r="H104" i="18"/>
  <c r="G104" i="18"/>
  <c r="F104" i="18"/>
  <c r="E104" i="18"/>
  <c r="D104" i="18"/>
  <c r="C104" i="18"/>
  <c r="L103" i="18"/>
  <c r="K103" i="18"/>
  <c r="J103" i="18"/>
  <c r="I103" i="18"/>
  <c r="H103" i="18"/>
  <c r="G103" i="18"/>
  <c r="F103" i="18"/>
  <c r="E103" i="18"/>
  <c r="D103" i="18"/>
  <c r="C103" i="18"/>
  <c r="L102" i="18"/>
  <c r="K102" i="18"/>
  <c r="J102" i="18"/>
  <c r="I102" i="18"/>
  <c r="H102" i="18"/>
  <c r="G102" i="18"/>
  <c r="F102" i="18"/>
  <c r="E102" i="18"/>
  <c r="D102" i="18"/>
  <c r="C102" i="18"/>
  <c r="L101" i="18"/>
  <c r="K101" i="18"/>
  <c r="J101" i="18"/>
  <c r="I101" i="18"/>
  <c r="H101" i="18"/>
  <c r="G101" i="18"/>
  <c r="F101" i="18"/>
  <c r="E101" i="18"/>
  <c r="D101" i="18"/>
  <c r="C101" i="18"/>
  <c r="L100" i="18"/>
  <c r="K100" i="18"/>
  <c r="J100" i="18"/>
  <c r="I100" i="18"/>
  <c r="H100" i="18"/>
  <c r="G100" i="18"/>
  <c r="F100" i="18"/>
  <c r="E100" i="18"/>
  <c r="D100" i="18"/>
  <c r="C100" i="18"/>
  <c r="L99" i="18"/>
  <c r="K99" i="18"/>
  <c r="J99" i="18"/>
  <c r="I99" i="18"/>
  <c r="H99" i="18"/>
  <c r="G99" i="18"/>
  <c r="F99" i="18"/>
  <c r="E99" i="18"/>
  <c r="D99" i="18"/>
  <c r="C99" i="18"/>
  <c r="L98" i="18"/>
  <c r="K98" i="18"/>
  <c r="J98" i="18"/>
  <c r="I98" i="18"/>
  <c r="H98" i="18"/>
  <c r="G98" i="18"/>
  <c r="F98" i="18"/>
  <c r="E98" i="18"/>
  <c r="D98" i="18"/>
  <c r="L95" i="18"/>
  <c r="K95" i="18"/>
  <c r="J95" i="18"/>
  <c r="I95" i="18"/>
  <c r="H95" i="18"/>
  <c r="G95" i="18"/>
  <c r="F95" i="18"/>
  <c r="E95" i="18"/>
  <c r="D95" i="18"/>
  <c r="C95" i="18"/>
  <c r="L94" i="18"/>
  <c r="K94" i="18"/>
  <c r="J94" i="18"/>
  <c r="I94" i="18"/>
  <c r="H94" i="18"/>
  <c r="G94" i="18"/>
  <c r="F94" i="18"/>
  <c r="E94" i="18"/>
  <c r="D94" i="18"/>
  <c r="C94" i="18"/>
  <c r="L93" i="18"/>
  <c r="K93" i="18"/>
  <c r="J93" i="18"/>
  <c r="I93" i="18"/>
  <c r="H93" i="18"/>
  <c r="G93" i="18"/>
  <c r="F93" i="18"/>
  <c r="E93" i="18"/>
  <c r="D93" i="18"/>
  <c r="C93" i="18"/>
  <c r="L92" i="18"/>
  <c r="K92" i="18"/>
  <c r="J92" i="18"/>
  <c r="I92" i="18"/>
  <c r="H92" i="18"/>
  <c r="G92" i="18"/>
  <c r="F92" i="18"/>
  <c r="E92" i="18"/>
  <c r="D92" i="18"/>
  <c r="C92" i="18"/>
  <c r="L91" i="18"/>
  <c r="K91" i="18"/>
  <c r="J91" i="18"/>
  <c r="I91" i="18"/>
  <c r="H91" i="18"/>
  <c r="G91" i="18"/>
  <c r="F91" i="18"/>
  <c r="E91" i="18"/>
  <c r="D91" i="18"/>
  <c r="C91" i="18"/>
  <c r="L90" i="18"/>
  <c r="K90" i="18"/>
  <c r="J90" i="18"/>
  <c r="I90" i="18"/>
  <c r="H90" i="18"/>
  <c r="G90" i="18"/>
  <c r="F90" i="18"/>
  <c r="E90" i="18"/>
  <c r="D90" i="18"/>
  <c r="C90" i="18"/>
  <c r="L89" i="18"/>
  <c r="K89" i="18"/>
  <c r="J89" i="18"/>
  <c r="I89" i="18"/>
  <c r="H89" i="18"/>
  <c r="G89" i="18"/>
  <c r="F89" i="18"/>
  <c r="E89" i="18"/>
  <c r="D89" i="18"/>
  <c r="C89" i="18"/>
  <c r="L88" i="18"/>
  <c r="K88" i="18"/>
  <c r="J88" i="18"/>
  <c r="I88" i="18"/>
  <c r="H88" i="18"/>
  <c r="G88" i="18"/>
  <c r="F88" i="18"/>
  <c r="E88" i="18"/>
  <c r="D88" i="18"/>
  <c r="C88" i="18"/>
  <c r="L87" i="18"/>
  <c r="K87" i="18"/>
  <c r="J87" i="18"/>
  <c r="I87" i="18"/>
  <c r="H87" i="18"/>
  <c r="G87" i="18"/>
  <c r="F87" i="18"/>
  <c r="E87" i="18"/>
  <c r="D87" i="18"/>
  <c r="C87" i="18"/>
  <c r="L86" i="18"/>
  <c r="K86" i="18"/>
  <c r="J86" i="18"/>
  <c r="I86" i="18"/>
  <c r="H86" i="18"/>
  <c r="G86" i="18"/>
  <c r="F86" i="18"/>
  <c r="E86" i="18"/>
  <c r="D86" i="18"/>
  <c r="C86" i="18"/>
  <c r="L85" i="18"/>
  <c r="K85" i="18"/>
  <c r="J85" i="18"/>
  <c r="I85" i="18"/>
  <c r="H85" i="18"/>
  <c r="G85" i="18"/>
  <c r="F85" i="18"/>
  <c r="E85" i="18"/>
  <c r="D85" i="18"/>
  <c r="C85" i="18"/>
  <c r="L84" i="18"/>
  <c r="K84" i="18"/>
  <c r="J84" i="18"/>
  <c r="I84" i="18"/>
  <c r="H84" i="18"/>
  <c r="G84" i="18"/>
  <c r="F84" i="18"/>
  <c r="E84" i="18"/>
  <c r="D84" i="18"/>
  <c r="C84" i="18"/>
  <c r="L80" i="18"/>
  <c r="K80" i="18"/>
  <c r="J80" i="18"/>
  <c r="I80" i="18"/>
  <c r="H80" i="18"/>
  <c r="G80" i="18"/>
  <c r="F80" i="18"/>
  <c r="E80" i="18"/>
  <c r="D80" i="18"/>
  <c r="C80" i="18"/>
  <c r="L79" i="18"/>
  <c r="K79" i="18"/>
  <c r="J79" i="18"/>
  <c r="I79" i="18"/>
  <c r="H79" i="18"/>
  <c r="G79" i="18"/>
  <c r="F79" i="18"/>
  <c r="E79" i="18"/>
  <c r="D79" i="18"/>
  <c r="C79" i="18"/>
  <c r="L78" i="18"/>
  <c r="K78" i="18"/>
  <c r="J78" i="18"/>
  <c r="I78" i="18"/>
  <c r="H78" i="18"/>
  <c r="G78" i="18"/>
  <c r="F78" i="18"/>
  <c r="E78" i="18"/>
  <c r="D78" i="18"/>
  <c r="C78" i="18"/>
  <c r="L77" i="18"/>
  <c r="K77" i="18"/>
  <c r="J77" i="18"/>
  <c r="I77" i="18"/>
  <c r="H77" i="18"/>
  <c r="G77" i="18"/>
  <c r="F77" i="18"/>
  <c r="E77" i="18"/>
  <c r="D77" i="18"/>
  <c r="C77" i="18"/>
  <c r="L76" i="18"/>
  <c r="K76" i="18"/>
  <c r="J76" i="18"/>
  <c r="I76" i="18"/>
  <c r="H76" i="18"/>
  <c r="G76" i="18"/>
  <c r="F76" i="18"/>
  <c r="E76" i="18"/>
  <c r="D76" i="18"/>
  <c r="C76" i="18"/>
  <c r="L75" i="18"/>
  <c r="K75" i="18"/>
  <c r="J75" i="18"/>
  <c r="I75" i="18"/>
  <c r="H75" i="18"/>
  <c r="G75" i="18"/>
  <c r="F75" i="18"/>
  <c r="E75" i="18"/>
  <c r="D75" i="18"/>
  <c r="C75" i="18"/>
  <c r="L74" i="18"/>
  <c r="K74" i="18"/>
  <c r="J74" i="18"/>
  <c r="I74" i="18"/>
  <c r="H74" i="18"/>
  <c r="G74" i="18"/>
  <c r="F74" i="18"/>
  <c r="E74" i="18"/>
  <c r="D74" i="18"/>
  <c r="C74" i="18"/>
  <c r="L73" i="18"/>
  <c r="K73" i="18"/>
  <c r="J73" i="18"/>
  <c r="I73" i="18"/>
  <c r="H73" i="18"/>
  <c r="G73" i="18"/>
  <c r="F73" i="18"/>
  <c r="E73" i="18"/>
  <c r="D73" i="18"/>
  <c r="C73" i="18"/>
  <c r="L72" i="18"/>
  <c r="K72" i="18"/>
  <c r="J72" i="18"/>
  <c r="I72" i="18"/>
  <c r="H72" i="18"/>
  <c r="G72" i="18"/>
  <c r="F72" i="18"/>
  <c r="E72" i="18"/>
  <c r="D72" i="18"/>
  <c r="C72" i="18"/>
  <c r="L71" i="18"/>
  <c r="K71" i="18"/>
  <c r="J71" i="18"/>
  <c r="I71" i="18"/>
  <c r="H71" i="18"/>
  <c r="G71" i="18"/>
  <c r="F71" i="18"/>
  <c r="E71" i="18"/>
  <c r="D71" i="18"/>
  <c r="C71" i="18"/>
  <c r="L70" i="18"/>
  <c r="K70" i="18"/>
  <c r="J70" i="18"/>
  <c r="I70" i="18"/>
  <c r="H70" i="18"/>
  <c r="G70" i="18"/>
  <c r="F70" i="18"/>
  <c r="E70" i="18"/>
  <c r="D70" i="18"/>
  <c r="C70" i="18"/>
  <c r="L66" i="18"/>
  <c r="K66" i="18"/>
  <c r="J66" i="18"/>
  <c r="I66" i="18"/>
  <c r="H66" i="18"/>
  <c r="G66" i="18"/>
  <c r="F66" i="18"/>
  <c r="E66" i="18"/>
  <c r="D66" i="18"/>
  <c r="C66" i="18"/>
  <c r="L64" i="18"/>
  <c r="K64" i="18"/>
  <c r="J64" i="18"/>
  <c r="I64" i="18"/>
  <c r="H64" i="18"/>
  <c r="G64" i="18"/>
  <c r="F64" i="18"/>
  <c r="E64" i="18"/>
  <c r="D64" i="18"/>
  <c r="C64" i="18"/>
  <c r="L57" i="18"/>
  <c r="K57" i="18"/>
  <c r="J57" i="18"/>
  <c r="I57" i="18"/>
  <c r="H57" i="18"/>
  <c r="G57" i="18"/>
  <c r="F57" i="18"/>
  <c r="E57" i="18"/>
  <c r="D57" i="18"/>
  <c r="C57" i="18"/>
  <c r="L56" i="18"/>
  <c r="K56" i="18"/>
  <c r="J56" i="18"/>
  <c r="I56" i="18"/>
  <c r="H56" i="18"/>
  <c r="G56" i="18"/>
  <c r="F56" i="18"/>
  <c r="E56" i="18"/>
  <c r="D56" i="18"/>
  <c r="C56" i="18"/>
  <c r="L62" i="18"/>
  <c r="K62" i="18"/>
  <c r="J62" i="18"/>
  <c r="I62" i="18"/>
  <c r="H62" i="18"/>
  <c r="G62" i="18"/>
  <c r="F62" i="18"/>
  <c r="E62" i="18"/>
  <c r="D62" i="18"/>
  <c r="C62" i="18"/>
  <c r="L61" i="18"/>
  <c r="K61" i="18"/>
  <c r="J61" i="18"/>
  <c r="I61" i="18"/>
  <c r="H61" i="18"/>
  <c r="G61" i="18"/>
  <c r="F61" i="18"/>
  <c r="E61" i="18"/>
  <c r="D61" i="18"/>
  <c r="C61" i="18"/>
  <c r="L60" i="18"/>
  <c r="K60" i="18"/>
  <c r="J60" i="18"/>
  <c r="I60" i="18"/>
  <c r="H60" i="18"/>
  <c r="G60" i="18"/>
  <c r="F60" i="18"/>
  <c r="E60" i="18"/>
  <c r="D60" i="18"/>
  <c r="C60" i="18"/>
  <c r="L59" i="18"/>
  <c r="K59" i="18"/>
  <c r="J59" i="18"/>
  <c r="I59" i="18"/>
  <c r="H59" i="18"/>
  <c r="G59" i="18"/>
  <c r="F59" i="18"/>
  <c r="E59" i="18"/>
  <c r="D59" i="18"/>
  <c r="C59" i="18"/>
  <c r="L55" i="18"/>
  <c r="K55" i="18"/>
  <c r="J55" i="18"/>
  <c r="I55" i="18"/>
  <c r="H55" i="18"/>
  <c r="G55" i="18"/>
  <c r="F55" i="18"/>
  <c r="E55" i="18"/>
  <c r="D55" i="18"/>
  <c r="C55" i="18"/>
  <c r="L54" i="18"/>
  <c r="K54" i="18"/>
  <c r="J54" i="18"/>
  <c r="I54" i="18"/>
  <c r="H54" i="18"/>
  <c r="G54" i="18"/>
  <c r="F54" i="18"/>
  <c r="E54" i="18"/>
  <c r="D54" i="18"/>
  <c r="C54" i="18"/>
  <c r="L53" i="18"/>
  <c r="K53" i="18"/>
  <c r="J53" i="18"/>
  <c r="I53" i="18"/>
  <c r="H53" i="18"/>
  <c r="G53" i="18"/>
  <c r="F53" i="18"/>
  <c r="E53" i="18"/>
  <c r="D53" i="18"/>
  <c r="C53" i="18"/>
  <c r="L51" i="18"/>
  <c r="K51" i="18"/>
  <c r="J51" i="18"/>
  <c r="I51" i="18"/>
  <c r="H51" i="18"/>
  <c r="G51" i="18"/>
  <c r="F51" i="18"/>
  <c r="E51" i="18"/>
  <c r="D51" i="18"/>
  <c r="C51" i="18"/>
  <c r="L50" i="18"/>
  <c r="K50" i="18"/>
  <c r="J50" i="18"/>
  <c r="I50" i="18"/>
  <c r="H50" i="18"/>
  <c r="G50" i="18"/>
  <c r="F50" i="18"/>
  <c r="E50" i="18"/>
  <c r="D50" i="18"/>
  <c r="C50" i="18"/>
  <c r="L49" i="18"/>
  <c r="K49" i="18"/>
  <c r="J49" i="18"/>
  <c r="I49" i="18"/>
  <c r="H49" i="18"/>
  <c r="G49" i="18"/>
  <c r="F49" i="18"/>
  <c r="E49" i="18"/>
  <c r="D49" i="18"/>
  <c r="C49" i="18"/>
  <c r="L48" i="18"/>
  <c r="K48" i="18"/>
  <c r="J48" i="18"/>
  <c r="I48" i="18"/>
  <c r="H48" i="18"/>
  <c r="G48" i="18"/>
  <c r="F48" i="18"/>
  <c r="E48" i="18"/>
  <c r="D48" i="18"/>
  <c r="C48" i="18"/>
  <c r="L47" i="18"/>
  <c r="K47" i="18"/>
  <c r="J47" i="18"/>
  <c r="I47" i="18"/>
  <c r="H47" i="18"/>
  <c r="G47" i="18"/>
  <c r="F47" i="18"/>
  <c r="E47" i="18"/>
  <c r="D47" i="18"/>
  <c r="C47" i="18"/>
  <c r="M36" i="18"/>
  <c r="M41" i="18" s="1"/>
  <c r="L36" i="18"/>
  <c r="L41" i="18" s="1"/>
  <c r="K36" i="18"/>
  <c r="K41" i="18" s="1"/>
  <c r="J36" i="18"/>
  <c r="J41" i="18" s="1"/>
  <c r="I36" i="18"/>
  <c r="I41" i="18" s="1"/>
  <c r="H36" i="18"/>
  <c r="H41" i="18" s="1"/>
  <c r="G36" i="18"/>
  <c r="G41" i="18" s="1"/>
  <c r="F36" i="18"/>
  <c r="F41" i="18" s="1"/>
  <c r="E36" i="18"/>
  <c r="E41" i="18" s="1"/>
  <c r="D36" i="18"/>
  <c r="D41" i="18" s="1"/>
  <c r="C36" i="18"/>
  <c r="C41" i="18" s="1"/>
  <c r="M30" i="18"/>
  <c r="L30" i="18"/>
  <c r="K30" i="18"/>
  <c r="J30" i="18"/>
  <c r="I30" i="18"/>
  <c r="H30" i="18"/>
  <c r="G30" i="18"/>
  <c r="F30" i="18"/>
  <c r="E30" i="18"/>
  <c r="D30" i="18"/>
  <c r="C30" i="18"/>
  <c r="J24" i="18"/>
  <c r="M24" i="18"/>
  <c r="L24" i="18"/>
  <c r="K24" i="18"/>
  <c r="I24" i="18"/>
  <c r="H24" i="18"/>
  <c r="G24" i="18"/>
  <c r="F24" i="18"/>
  <c r="E24" i="18"/>
  <c r="D24" i="18"/>
  <c r="C24" i="18"/>
  <c r="M21" i="18"/>
  <c r="L21" i="18"/>
  <c r="K21" i="18"/>
  <c r="J21" i="18"/>
  <c r="I21" i="18"/>
  <c r="H21" i="18"/>
  <c r="G21" i="18"/>
  <c r="F21" i="18"/>
  <c r="E21" i="18"/>
  <c r="D21" i="18"/>
  <c r="C21" i="18"/>
  <c r="M18" i="18"/>
  <c r="M15" i="18"/>
  <c r="L15" i="18"/>
  <c r="K15" i="18"/>
  <c r="J15" i="18"/>
  <c r="I15" i="18"/>
  <c r="H15" i="18"/>
  <c r="G15" i="18"/>
  <c r="F15" i="18"/>
  <c r="E15" i="18"/>
  <c r="D15" i="18"/>
  <c r="C15" i="18"/>
  <c r="M9" i="18"/>
  <c r="L9" i="18"/>
  <c r="K9" i="18"/>
  <c r="J9" i="18"/>
  <c r="I9" i="18"/>
  <c r="H9" i="18"/>
  <c r="G9" i="18"/>
  <c r="F9" i="18"/>
  <c r="E9" i="18"/>
  <c r="D9" i="18"/>
  <c r="C9" i="18"/>
  <c r="L6" i="18"/>
  <c r="K6" i="18"/>
  <c r="J6" i="18"/>
  <c r="I6" i="18"/>
  <c r="H6" i="18"/>
  <c r="G6" i="18"/>
  <c r="F6" i="18"/>
  <c r="E6" i="18"/>
  <c r="D6" i="18"/>
  <c r="C6" i="18"/>
  <c r="L17" i="23" l="1"/>
  <c r="O16" i="23"/>
  <c r="G17" i="23"/>
  <c r="J16" i="23"/>
  <c r="M33" i="18"/>
  <c r="M34" i="18" s="1"/>
  <c r="E12" i="18"/>
  <c r="E18" i="18" s="1"/>
  <c r="F12" i="18"/>
  <c r="F18" i="18" s="1"/>
  <c r="G12" i="18"/>
  <c r="G18" i="18" s="1"/>
  <c r="H12" i="18"/>
  <c r="I12" i="18"/>
  <c r="J12" i="18"/>
  <c r="C12" i="18"/>
  <c r="K12" i="18"/>
  <c r="L12" i="18"/>
  <c r="D12" i="18"/>
  <c r="M12" i="18"/>
  <c r="M13" i="18" s="1"/>
  <c r="L3" i="18"/>
  <c r="K3" i="18"/>
  <c r="J3" i="18"/>
  <c r="I3" i="18"/>
  <c r="H3" i="18"/>
  <c r="G3" i="18"/>
  <c r="F3" i="18"/>
  <c r="E3" i="18"/>
  <c r="D3" i="18"/>
  <c r="C3" i="18"/>
  <c r="K33" i="6"/>
  <c r="J33" i="6"/>
  <c r="I33" i="6"/>
  <c r="H33" i="6"/>
  <c r="G33" i="6"/>
  <c r="F33" i="6"/>
  <c r="E33" i="6"/>
  <c r="D33" i="6"/>
  <c r="C33" i="6"/>
  <c r="B33" i="6"/>
  <c r="L18" i="23" l="1"/>
  <c r="O17" i="23"/>
  <c r="J17" i="23"/>
  <c r="G18" i="23"/>
  <c r="J18" i="23" s="1"/>
  <c r="E27" i="18"/>
  <c r="G27" i="18"/>
  <c r="E33" i="18"/>
  <c r="F27" i="18"/>
  <c r="M38" i="18"/>
  <c r="J18" i="18"/>
  <c r="D18" i="18"/>
  <c r="L18" i="18"/>
  <c r="K18" i="18"/>
  <c r="C18" i="18"/>
  <c r="I18" i="18"/>
  <c r="H18" i="18"/>
  <c r="K51" i="6"/>
  <c r="J51" i="6"/>
  <c r="I51" i="6"/>
  <c r="H51" i="6"/>
  <c r="G51" i="6"/>
  <c r="F51" i="6"/>
  <c r="E51" i="6"/>
  <c r="D51" i="6"/>
  <c r="C51" i="6"/>
  <c r="B51" i="6"/>
  <c r="B6" i="6"/>
  <c r="E1" i="6"/>
  <c r="O18" i="23" l="1"/>
  <c r="M44" i="18"/>
  <c r="M42" i="18"/>
  <c r="F33" i="18"/>
  <c r="E38" i="18"/>
  <c r="G33" i="18"/>
  <c r="H27" i="18"/>
  <c r="L27" i="18"/>
  <c r="J27" i="18"/>
  <c r="I27" i="18"/>
  <c r="C27" i="18"/>
  <c r="K27" i="18"/>
  <c r="D27" i="18"/>
  <c r="E42" i="18" l="1"/>
  <c r="E44" i="18" s="1"/>
  <c r="H33" i="18"/>
  <c r="G38" i="18"/>
  <c r="C33" i="18"/>
  <c r="I33" i="18"/>
  <c r="J33" i="18"/>
  <c r="F38" i="18"/>
  <c r="D33" i="18"/>
  <c r="K33" i="18"/>
  <c r="L33" i="18"/>
  <c r="G42" i="18" l="1"/>
  <c r="G44" i="18" s="1"/>
  <c r="F39" i="18"/>
  <c r="F42" i="18"/>
  <c r="F44" i="18" s="1"/>
  <c r="I38" i="18"/>
  <c r="K38" i="18"/>
  <c r="G39" i="18"/>
  <c r="D38" i="18"/>
  <c r="C38" i="18"/>
  <c r="H38" i="18"/>
  <c r="L38" i="18"/>
  <c r="J38" i="18"/>
  <c r="D39" i="18" l="1"/>
  <c r="D42" i="18"/>
  <c r="D44" i="18" s="1"/>
  <c r="K39" i="18"/>
  <c r="K44" i="18"/>
  <c r="K42" i="18"/>
  <c r="J39" i="18"/>
  <c r="J42" i="18"/>
  <c r="J44" i="18" s="1"/>
  <c r="I42" i="18"/>
  <c r="I44" i="18" s="1"/>
  <c r="L44" i="18"/>
  <c r="L42" i="18"/>
  <c r="H39" i="18"/>
  <c r="H44" i="18"/>
  <c r="H42" i="18"/>
  <c r="C42" i="18"/>
  <c r="C44" i="18" s="1"/>
  <c r="L39" i="18"/>
  <c r="M39" i="18"/>
  <c r="E39" i="18"/>
  <c r="I39" i="18"/>
</calcChain>
</file>

<file path=xl/sharedStrings.xml><?xml version="1.0" encoding="utf-8"?>
<sst xmlns="http://schemas.openxmlformats.org/spreadsheetml/2006/main" count="239" uniqueCount="170">
  <si>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</si>
  <si>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</si>
  <si>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</si>
  <si>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</si>
  <si>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</si>
  <si>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</si>
  <si>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</si>
  <si>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</si>
  <si>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</si>
  <si>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</si>
  <si>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</si>
  <si>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</si>
  <si>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</si>
  <si>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</si>
  <si>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</si>
  <si>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</si>
  <si>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</si>
  <si>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</si>
  <si>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</si>
  <si>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</si>
  <si>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</si>
  <si>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</si>
  <si>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</si>
  <si>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</si>
  <si>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</si>
  <si>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</si>
  <si>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</si>
  <si>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</si>
  <si>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</si>
  <si>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</si>
  <si>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</si>
  <si>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</si>
  <si>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</si>
  <si>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</si>
  <si>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</si>
  <si>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</si>
  <si>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</si>
  <si>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</si>
  <si>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</si>
  <si>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</si>
  <si>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</si>
  <si>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</si>
  <si>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</si>
  <si>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</si>
  <si>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</si>
  <si>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</si>
  <si>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</si>
  <si>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</si>
  <si>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</si>
  <si>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</si>
  <si>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</si>
  <si>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</si>
  <si>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</si>
  <si>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</si>
  <si>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</si>
  <si>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</si>
  <si>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</si>
  <si>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 xml:space="preserve">Sales </t>
  </si>
  <si>
    <t>-</t>
  </si>
  <si>
    <t>EBITDA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</si>
  <si>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</si>
  <si>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</si>
  <si>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</si>
  <si>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</si>
  <si>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</si>
  <si>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</si>
  <si>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</si>
  <si>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</si>
  <si>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</si>
  <si>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</si>
  <si>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</si>
  <si>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</si>
  <si>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</si>
  <si>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</si>
  <si>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</si>
  <si>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</si>
  <si>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</si>
  <si>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</si>
  <si>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</si>
  <si>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</si>
  <si>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</si>
  <si>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Income Statement</t>
  </si>
  <si>
    <t xml:space="preserve">Sales Growth </t>
  </si>
  <si>
    <t>COGS</t>
  </si>
  <si>
    <t>COSG % Sales</t>
  </si>
  <si>
    <t xml:space="preserve">Gross Profit </t>
  </si>
  <si>
    <t xml:space="preserve">Selling &amp; General Expenses </t>
  </si>
  <si>
    <t>S&amp;G Exp % Sales</t>
  </si>
  <si>
    <t>EBITDA Margins</t>
  </si>
  <si>
    <t xml:space="preserve">Interest </t>
  </si>
  <si>
    <t>Interest % Sales</t>
  </si>
  <si>
    <t>Deprecaiton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</si>
  <si>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</si>
  <si>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</si>
  <si>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</si>
  <si>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</si>
  <si>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</si>
  <si>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</si>
  <si>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</si>
  <si>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</si>
  <si>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Dividend per Share</t>
  </si>
  <si>
    <t>EPS Growth %</t>
  </si>
  <si>
    <t xml:space="preserve">Dividend Payout Ratio </t>
  </si>
  <si>
    <t>Retained Earnings</t>
  </si>
  <si>
    <t xml:space="preserve">Balance Sheet </t>
  </si>
  <si>
    <t xml:space="preserve">Total Laibilities </t>
  </si>
  <si>
    <t>Fixed Asset Net Block</t>
  </si>
  <si>
    <t>Total Non Current Assets</t>
  </si>
  <si>
    <t>Total Current Assets</t>
  </si>
  <si>
    <t xml:space="preserve">Total Assets </t>
  </si>
  <si>
    <t>Check</t>
  </si>
  <si>
    <t>Cash from Operating Activity -</t>
  </si>
  <si>
    <t>Loans Advances</t>
  </si>
  <si>
    <t>Operating Deposits</t>
  </si>
  <si>
    <t>Other operating items</t>
  </si>
  <si>
    <t>Exceptional CF items</t>
  </si>
  <si>
    <t>Cash from Investing Activity -</t>
  </si>
  <si>
    <t>Invest in subsidiaries</t>
  </si>
  <si>
    <t>Loans to subsidiaries</t>
  </si>
  <si>
    <t>Cash from Financing Activity -</t>
  </si>
  <si>
    <t>Cash Flow Statements</t>
  </si>
  <si>
    <t xml:space="preserve">Cash From Operating Activities </t>
  </si>
  <si>
    <t>Operating Activities</t>
  </si>
  <si>
    <t xml:space="preserve">Investing Activities </t>
  </si>
  <si>
    <t xml:space="preserve">Cash From Investing Activities </t>
  </si>
  <si>
    <t xml:space="preserve">Financing Activties </t>
  </si>
  <si>
    <t xml:space="preserve">Cash From Financing Activities 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</si>
  <si>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</si>
  <si>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</si>
  <si>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</si>
  <si>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</si>
  <si>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</si>
  <si>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</si>
  <si>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</si>
  <si>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</si>
  <si>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</si>
  <si>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</si>
  <si>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 xml:space="preserve">SalesExpenses%Sales </t>
  </si>
  <si>
    <t xml:space="preserve">Depreciation%Sales </t>
  </si>
  <si>
    <t xml:space="preserve">OperatingIncome%Sales </t>
  </si>
  <si>
    <t xml:space="preserve">Return on Capital Employed </t>
  </si>
  <si>
    <t>Retained Earnings%</t>
  </si>
  <si>
    <t>Return on Equity%</t>
  </si>
  <si>
    <t xml:space="preserve">Self Sustained Growth Rate 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</si>
  <si>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</si>
  <si>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</si>
  <si>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</si>
  <si>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</si>
  <si>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</si>
  <si>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</si>
  <si>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</si>
  <si>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</si>
  <si>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</si>
  <si>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</si>
  <si>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</si>
  <si>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</si>
  <si>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</si>
  <si>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Mean</t>
  </si>
  <si>
    <t>Median</t>
  </si>
  <si>
    <t>Trend</t>
  </si>
  <si>
    <t xml:space="preserve">Year Weight </t>
  </si>
  <si>
    <t>Year</t>
  </si>
  <si>
    <t>Sales Growth</t>
  </si>
  <si>
    <t xml:space="preserve">EPS </t>
  </si>
  <si>
    <t>EPS Growth</t>
  </si>
  <si>
    <t xml:space="preserve"> Particulars</t>
  </si>
  <si>
    <t>Total Liabilities</t>
  </si>
  <si>
    <t>Total Assets</t>
  </si>
  <si>
    <t>Total Asset</t>
  </si>
  <si>
    <t>Other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</si>
</sst>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0&quot;x&quot;"/>
    <numFmt numFmtId="168" formatCode="yyyy"/>
    <numFmt numFmtId="169" formatCode="yyyy&quot;A&quot;"/>
    <numFmt numFmtId="170" formatCode="yyyy&quot;E&quot;"/>
    <numFmt numFmtId="171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7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1" fillId="0" borderId="0" xfId="0" applyFont="1"/>
    <xf numFmtId="10" fontId="0" fillId="0" borderId="0" xfId="4" applyNumberFormat="1" applyFont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4" applyNumberFormat="1" applyFont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0" fontId="1" fillId="6" borderId="0" xfId="0" applyFont="1" applyFill="1"/>
    <xf numFmtId="0" fontId="0" fillId="6" borderId="0" xfId="0" applyFill="1"/>
    <xf numFmtId="166" fontId="1" fillId="0" borderId="0" xfId="0" applyNumberFormat="1" applyFont="1"/>
    <xf numFmtId="0" fontId="8" fillId="0" borderId="0" xfId="0" applyFont="1"/>
    <xf numFmtId="3" fontId="0" fillId="0" borderId="0" xfId="0" applyNumberFormat="1"/>
    <xf numFmtId="0" fontId="1" fillId="0" borderId="1" xfId="0" applyFont="1" applyBorder="1"/>
    <xf numFmtId="166" fontId="0" fillId="0" borderId="1" xfId="0" applyNumberFormat="1" applyBorder="1"/>
    <xf numFmtId="166" fontId="1" fillId="0" borderId="1" xfId="0" applyNumberFormat="1" applyFont="1" applyBorder="1"/>
    <xf numFmtId="0" fontId="5" fillId="5" borderId="0" xfId="0" applyFont="1" applyFill="1"/>
    <xf numFmtId="167" fontId="0" fillId="0" borderId="0" xfId="0" applyNumberFormat="1"/>
    <xf numFmtId="0" fontId="0" fillId="0" borderId="2" xfId="0" applyBorder="1"/>
    <xf numFmtId="10" fontId="3" fillId="0" borderId="2" xfId="4" applyNumberFormat="1" applyFont="1" applyBorder="1"/>
    <xf numFmtId="10" fontId="3" fillId="0" borderId="0" xfId="4" applyNumberFormat="1" applyFont="1" applyBorder="1"/>
    <xf numFmtId="0" fontId="0" fillId="0" borderId="3" xfId="0" applyBorder="1"/>
    <xf numFmtId="166" fontId="0" fillId="0" borderId="3" xfId="0" applyNumberFormat="1" applyBorder="1"/>
    <xf numFmtId="10" fontId="3" fillId="0" borderId="3" xfId="4" applyNumberFormat="1" applyFont="1" applyBorder="1"/>
    <xf numFmtId="10" fontId="0" fillId="0" borderId="2" xfId="0" applyNumberFormat="1" applyBorder="1"/>
    <xf numFmtId="10" fontId="0" fillId="0" borderId="0" xfId="0" applyNumberFormat="1"/>
    <xf numFmtId="10" fontId="0" fillId="0" borderId="3" xfId="0" applyNumberFormat="1" applyBorder="1"/>
    <xf numFmtId="10" fontId="0" fillId="0" borderId="2" xfId="4" applyNumberFormat="1" applyFont="1" applyBorder="1"/>
    <xf numFmtId="10" fontId="0" fillId="0" borderId="0" xfId="4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10" fontId="0" fillId="0" borderId="3" xfId="4" applyNumberFormat="1" applyFont="1" applyBorder="1"/>
    <xf numFmtId="0" fontId="5" fillId="5" borderId="2" xfId="0" applyFont="1" applyFill="1" applyBorder="1"/>
    <xf numFmtId="0" fontId="5" fillId="5" borderId="3" xfId="0" applyFont="1" applyFill="1" applyBorder="1"/>
    <xf numFmtId="17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7" fontId="9" fillId="7" borderId="0" xfId="0" applyNumberFormat="1" applyFont="1" applyFill="1" applyAlignment="1">
      <alignment horizontal="right" vertical="center" wrapText="1"/>
    </xf>
    <xf numFmtId="0" fontId="9" fillId="7" borderId="0" xfId="0" applyFont="1" applyFill="1" applyAlignment="1">
      <alignment horizontal="right" vertical="center" wrapText="1"/>
    </xf>
    <xf numFmtId="4" fontId="0" fillId="0" borderId="0" xfId="0" applyNumberFormat="1"/>
    <xf numFmtId="168" fontId="0" fillId="0" borderId="0" xfId="0" applyNumberFormat="1"/>
    <xf numFmtId="169" fontId="0" fillId="0" borderId="0" xfId="0" applyNumberFormat="1"/>
    <xf numFmtId="171" fontId="10" fillId="0" borderId="0" xfId="0" applyNumberFormat="1" applyFont="1"/>
    <xf numFmtId="0" fontId="0" fillId="8" borderId="0" xfId="0" applyFill="1" applyAlignment="1">
      <alignment horizontal="left"/>
    </xf>
    <xf numFmtId="170" fontId="0" fillId="8" borderId="0" xfId="0" applyNumberFormat="1" applyFill="1"/>
    <xf numFmtId="10" fontId="0" fillId="8" borderId="0" xfId="4" applyNumberFormat="1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1" fillId="0" borderId="4" xfId="0" applyFont="1" applyBorder="1"/>
    <xf numFmtId="17" fontId="1" fillId="0" borderId="4" xfId="0" applyNumberFormat="1" applyFont="1" applyBorder="1"/>
    <xf numFmtId="43" fontId="0" fillId="0" borderId="0" xfId="0" applyNumberFormat="1"/>
    <xf numFmtId="17" fontId="1" fillId="0" borderId="0" xfId="0" applyNumberFormat="1" applyFont="1"/>
    <xf numFmtId="43" fontId="1" fillId="0" borderId="0" xfId="0" applyNumberFormat="1" applyFont="1"/>
    <xf numFmtId="10" fontId="1" fillId="0" borderId="0" xfId="4" applyNumberFormat="1" applyFont="1" applyBorder="1"/>
    <xf numFmtId="10" fontId="1" fillId="0" borderId="0" xfId="4" applyNumberFormat="1" applyFont="1"/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171" fontId="0" fillId="8" borderId="0" xfId="0" applyNumberFormat="1" applyFont="1" applyFill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19C4-41B9-455A-AD2F-C21C2A6A5998}">
  <sheetPr>
    <tabColor rgb="FF0070C0"/>
  </sheetPr>
  <dimension ref="A1"/>
  <sheetViews>
    <sheetView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B647-8205-49A6-9A2D-C88F93A362CF}">
  <dimension ref="A2:M107"/>
  <sheetViews>
    <sheetView showGridLines="0" topLeftCell="B1" workbookViewId="0">
      <pane ySplit="3" topLeftCell="A22" activePane="bottomLeft" state="frozen"/>
      <selection pane="bottomLeft" activeCell="O76" sqref="O76"/>
    </sheetView>
  </sheetViews>
  <sheetFormatPr defaultRowHeight="14.4" x14ac:dyDescent="0.3"/>
  <cols>
    <col min="1" max="1" width="1.88671875" customWidth="1"/>
    <col min="2" max="2" width="26.44140625" customWidth="1"/>
    <col min="3" max="10" width="10.5546875" bestFit="1" customWidth="1"/>
    <col min="11" max="12" width="10.88671875" bestFit="1" customWidth="1"/>
    <col min="13" max="13" width="9.44140625" bestFit="1" customWidth="1"/>
  </cols>
  <sheetData>
    <row r="2" spans="1:13" x14ac:dyDescent="0.3">
      <c r="B2" s="70" t="str">
        <f>"Historical Financial Statement - "&amp;'Data Sheet'!B1</f>
        <v>Historical Financial Statement - HINDUSTAN UNILEVER LTD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 x14ac:dyDescent="0.3"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4" t="s">
        <v>55</v>
      </c>
    </row>
    <row r="4" spans="1:13" x14ac:dyDescent="0.3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3">
      <c r="A5" s="9" t="s">
        <v>56</v>
      </c>
      <c r="B5" s="21" t="s">
        <v>81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3">
      <c r="B6" t="s">
        <v>57</v>
      </c>
      <c r="C6" s="8">
        <f>'Data Sheet'!B17</f>
        <v>32186</v>
      </c>
      <c r="D6" s="8">
        <f>'Data Sheet'!C17</f>
        <v>33162</v>
      </c>
      <c r="E6" s="8">
        <f>'Data Sheet'!D17</f>
        <v>35545</v>
      </c>
      <c r="F6" s="8">
        <f>'Data Sheet'!E17</f>
        <v>39310</v>
      </c>
      <c r="G6" s="8">
        <f>'Data Sheet'!F17</f>
        <v>39783</v>
      </c>
      <c r="H6" s="8">
        <f>'Data Sheet'!G17</f>
        <v>47028</v>
      </c>
      <c r="I6" s="8">
        <f>'Data Sheet'!H17</f>
        <v>52446</v>
      </c>
      <c r="J6" s="8">
        <f>'Data Sheet'!I17</f>
        <v>60580</v>
      </c>
      <c r="K6" s="8">
        <f>'Data Sheet'!J17</f>
        <v>61896</v>
      </c>
      <c r="L6" s="8">
        <f>'Data Sheet'!K17</f>
        <v>63121</v>
      </c>
      <c r="M6" s="8">
        <f>IFERROR(SUM('Data Sheet'!H42:K42),0)</f>
        <v>64243</v>
      </c>
    </row>
    <row r="7" spans="1:13" x14ac:dyDescent="0.3">
      <c r="B7" s="15" t="s">
        <v>82</v>
      </c>
      <c r="C7" s="16" t="s">
        <v>58</v>
      </c>
      <c r="D7" s="17">
        <f>IFERROR(D6/C6-1,0)</f>
        <v>3.03237432424035E-2</v>
      </c>
      <c r="E7" s="17">
        <f t="shared" ref="E7:M7" si="0">IFERROR(E6/D6-1,0)</f>
        <v>7.1859357095470644E-2</v>
      </c>
      <c r="F7" s="17">
        <f t="shared" si="0"/>
        <v>0.1059220706147137</v>
      </c>
      <c r="G7" s="17">
        <f t="shared" si="0"/>
        <v>1.2032561689137689E-2</v>
      </c>
      <c r="H7" s="17">
        <f t="shared" si="0"/>
        <v>0.18211296282331646</v>
      </c>
      <c r="I7" s="17">
        <f t="shared" si="0"/>
        <v>0.11520796121459553</v>
      </c>
      <c r="J7" s="17">
        <f t="shared" si="0"/>
        <v>0.15509285741524614</v>
      </c>
      <c r="K7" s="17">
        <f t="shared" si="0"/>
        <v>2.1723341036645749E-2</v>
      </c>
      <c r="L7" s="17">
        <f t="shared" si="0"/>
        <v>1.9791262763344974E-2</v>
      </c>
      <c r="M7" s="17">
        <f t="shared" si="0"/>
        <v>1.7775383786695409E-2</v>
      </c>
    </row>
    <row r="9" spans="1:13" x14ac:dyDescent="0.3">
      <c r="B9" t="s">
        <v>83</v>
      </c>
      <c r="C9" s="8">
        <f>IFERROR(SUM('Data Sheet'!B18,'Data Sheet'!B20,'Data Sheet'!B21,'Data Sheet'!B22)-1*'Data Sheet'!B19,0)</f>
        <v>18222</v>
      </c>
      <c r="D9" s="8">
        <f>IFERROR(SUM('Data Sheet'!C18,'Data Sheet'!C20,'Data Sheet'!C21,'Data Sheet'!C22)-1*'Data Sheet'!C19,0)</f>
        <v>18675</v>
      </c>
      <c r="E9" s="8">
        <f>IFERROR(SUM('Data Sheet'!D18,'Data Sheet'!D20,'Data Sheet'!D21,'Data Sheet'!D22)-1*'Data Sheet'!D19,0)</f>
        <v>19314</v>
      </c>
      <c r="F9" s="8">
        <f>IFERROR(SUM('Data Sheet'!E18,'Data Sheet'!E20,'Data Sheet'!E21,'Data Sheet'!E22)-1*'Data Sheet'!E19,0)</f>
        <v>21081</v>
      </c>
      <c r="G9" s="8">
        <f>IFERROR(SUM('Data Sheet'!F18,'Data Sheet'!F20,'Data Sheet'!F21,'Data Sheet'!F22)-1*'Data Sheet'!F19,0)</f>
        <v>20614</v>
      </c>
      <c r="H9" s="8">
        <f>IFERROR(SUM('Data Sheet'!G18,'Data Sheet'!G20,'Data Sheet'!G21,'Data Sheet'!G22)-1*'Data Sheet'!G19,0)</f>
        <v>25301</v>
      </c>
      <c r="I9" s="8">
        <f>IFERROR(SUM('Data Sheet'!H18,'Data Sheet'!H20,'Data Sheet'!H21,'Data Sheet'!H22)-1*'Data Sheet'!H19,0)</f>
        <v>29066</v>
      </c>
      <c r="J9" s="8">
        <f>IFERROR(SUM('Data Sheet'!I18,'Data Sheet'!I20,'Data Sheet'!I21,'Data Sheet'!I22)-1*'Data Sheet'!I19,0)</f>
        <v>35381</v>
      </c>
      <c r="K9" s="8">
        <f>IFERROR(SUM('Data Sheet'!J18,'Data Sheet'!J20,'Data Sheet'!J21,'Data Sheet'!J22)-1*'Data Sheet'!J19,0)</f>
        <v>33651</v>
      </c>
      <c r="L9" s="8">
        <f>IFERROR(SUM('Data Sheet'!K18,'Data Sheet'!K20,'Data Sheet'!K21,'Data Sheet'!K22)-1*'Data Sheet'!K19,0)</f>
        <v>34529</v>
      </c>
      <c r="M9" s="8">
        <f>IFERROR(SUM('Data Sheet'!H43:K43),0)</f>
        <v>49487</v>
      </c>
    </row>
    <row r="10" spans="1:13" x14ac:dyDescent="0.3">
      <c r="B10" s="17" t="s">
        <v>84</v>
      </c>
      <c r="C10" s="17">
        <f>IFERROR(C9/C6,0)</f>
        <v>0.56614677188839868</v>
      </c>
      <c r="D10" s="17">
        <f t="shared" ref="D10:M10" si="1">IFERROR(D9/D6,0)</f>
        <v>0.5631445630540981</v>
      </c>
      <c r="E10" s="17">
        <f t="shared" si="1"/>
        <v>0.54336756224504146</v>
      </c>
      <c r="F10" s="17">
        <f t="shared" si="1"/>
        <v>0.53627575680488426</v>
      </c>
      <c r="G10" s="17">
        <f t="shared" si="1"/>
        <v>0.51816102355277383</v>
      </c>
      <c r="H10" s="17">
        <f t="shared" si="1"/>
        <v>0.53799863910861612</v>
      </c>
      <c r="I10" s="17">
        <f t="shared" si="1"/>
        <v>0.55420813789421497</v>
      </c>
      <c r="J10" s="17">
        <f t="shared" si="1"/>
        <v>0.58403763618355897</v>
      </c>
      <c r="K10" s="17">
        <f t="shared" si="1"/>
        <v>0.54367002714230317</v>
      </c>
      <c r="L10" s="17">
        <f t="shared" si="1"/>
        <v>0.54702872261212587</v>
      </c>
      <c r="M10" s="17">
        <f t="shared" si="1"/>
        <v>0.77030960571579787</v>
      </c>
    </row>
    <row r="12" spans="1:13" x14ac:dyDescent="0.3">
      <c r="B12" s="26" t="s">
        <v>85</v>
      </c>
      <c r="C12" s="27">
        <f>C6-C9</f>
        <v>13964</v>
      </c>
      <c r="D12" s="27">
        <f t="shared" ref="D12:M12" si="2">D6-D9</f>
        <v>14487</v>
      </c>
      <c r="E12" s="27">
        <f t="shared" si="2"/>
        <v>16231</v>
      </c>
      <c r="F12" s="27">
        <f t="shared" si="2"/>
        <v>18229</v>
      </c>
      <c r="G12" s="27">
        <f t="shared" si="2"/>
        <v>19169</v>
      </c>
      <c r="H12" s="27">
        <f t="shared" si="2"/>
        <v>21727</v>
      </c>
      <c r="I12" s="27">
        <f t="shared" si="2"/>
        <v>23380</v>
      </c>
      <c r="J12" s="27">
        <f t="shared" si="2"/>
        <v>25199</v>
      </c>
      <c r="K12" s="27">
        <f t="shared" si="2"/>
        <v>28245</v>
      </c>
      <c r="L12" s="27">
        <f t="shared" si="2"/>
        <v>28592</v>
      </c>
      <c r="M12" s="27">
        <f t="shared" si="2"/>
        <v>14756</v>
      </c>
    </row>
    <row r="13" spans="1:13" x14ac:dyDescent="0.3">
      <c r="B13" s="17" t="s">
        <v>92</v>
      </c>
      <c r="C13" s="17">
        <f>IFERROR(C12/C6,0)</f>
        <v>0.43385322811160132</v>
      </c>
      <c r="D13" s="17">
        <f t="shared" ref="D13:M13" si="3">IFERROR(D12/D6,0)</f>
        <v>0.43685543694590195</v>
      </c>
      <c r="E13" s="17">
        <f t="shared" si="3"/>
        <v>0.45663243775495849</v>
      </c>
      <c r="F13" s="17">
        <f t="shared" si="3"/>
        <v>0.46372424319511574</v>
      </c>
      <c r="G13" s="17">
        <f t="shared" si="3"/>
        <v>0.48183897644722617</v>
      </c>
      <c r="H13" s="17">
        <f t="shared" si="3"/>
        <v>0.46200136089138388</v>
      </c>
      <c r="I13" s="17">
        <f t="shared" si="3"/>
        <v>0.44579186210578498</v>
      </c>
      <c r="J13" s="17">
        <f t="shared" si="3"/>
        <v>0.41596236381644108</v>
      </c>
      <c r="K13" s="17">
        <f t="shared" si="3"/>
        <v>0.45632997285769678</v>
      </c>
      <c r="L13" s="17">
        <f t="shared" si="3"/>
        <v>0.45297127738787407</v>
      </c>
      <c r="M13" s="17">
        <f t="shared" si="3"/>
        <v>0.22969039428420218</v>
      </c>
    </row>
    <row r="15" spans="1:13" x14ac:dyDescent="0.3">
      <c r="B15" t="s">
        <v>86</v>
      </c>
      <c r="C15" s="8">
        <f>IFERROR(SUM('Data Sheet'!B23:B24),0)</f>
        <v>8054</v>
      </c>
      <c r="D15" s="8">
        <f>IFERROR(SUM('Data Sheet'!C23:C24),0)</f>
        <v>8159</v>
      </c>
      <c r="E15" s="8">
        <f>IFERROR(SUM('Data Sheet'!D23:D24),0)</f>
        <v>8732</v>
      </c>
      <c r="F15" s="8">
        <f>IFERROR(SUM('Data Sheet'!E23:E24),0)</f>
        <v>9349</v>
      </c>
      <c r="G15" s="8">
        <f>IFERROR(SUM('Data Sheet'!F23:F24),0)</f>
        <v>9308</v>
      </c>
      <c r="H15" s="8">
        <f>IFERROR(SUM('Data Sheet'!G23:G24),0)</f>
        <v>10101</v>
      </c>
      <c r="I15" s="8">
        <f>IFERROR(SUM('Data Sheet'!H23:H24),0)</f>
        <v>10523</v>
      </c>
      <c r="J15" s="8">
        <f>IFERROR(SUM('Data Sheet'!I23:I24),0)</f>
        <v>11052</v>
      </c>
      <c r="K15" s="8">
        <f>IFERROR(SUM('Data Sheet'!J23:J24),0)</f>
        <v>13586</v>
      </c>
      <c r="L15" s="8">
        <f>IFERROR(SUM('Data Sheet'!K23:K24),0)</f>
        <v>13749</v>
      </c>
      <c r="M15" s="8">
        <f>IFERROR(SUM('Data Sheet'!L23:L24),0)</f>
        <v>0</v>
      </c>
    </row>
    <row r="16" spans="1:13" x14ac:dyDescent="0.3">
      <c r="B16" s="17" t="s">
        <v>87</v>
      </c>
      <c r="C16" s="17">
        <f>IFERROR(C15/C6,0)</f>
        <v>0.25023302056794877</v>
      </c>
      <c r="D16" s="17">
        <f t="shared" ref="D16:M16" si="4">IFERROR(D15/D6,0)</f>
        <v>0.24603461793619202</v>
      </c>
      <c r="E16" s="17">
        <f t="shared" si="4"/>
        <v>0.24566043044028696</v>
      </c>
      <c r="F16" s="17">
        <f t="shared" si="4"/>
        <v>0.23782752480284916</v>
      </c>
      <c r="G16" s="17">
        <f t="shared" si="4"/>
        <v>0.23396928336224015</v>
      </c>
      <c r="H16" s="17">
        <f t="shared" si="4"/>
        <v>0.21478693544271499</v>
      </c>
      <c r="I16" s="17">
        <f t="shared" si="4"/>
        <v>0.20064447240971667</v>
      </c>
      <c r="J16" s="17">
        <f t="shared" si="4"/>
        <v>0.18243644767249917</v>
      </c>
      <c r="K16" s="17">
        <f t="shared" si="4"/>
        <v>0.21949722114514669</v>
      </c>
      <c r="L16" s="17">
        <f t="shared" si="4"/>
        <v>0.21781974303322191</v>
      </c>
      <c r="M16" s="17">
        <f t="shared" si="4"/>
        <v>0</v>
      </c>
    </row>
    <row r="18" spans="2:13" x14ac:dyDescent="0.3">
      <c r="B18" s="26" t="s">
        <v>59</v>
      </c>
      <c r="C18" s="28">
        <f t="shared" ref="C18:L18" si="5">C12-C15</f>
        <v>5910</v>
      </c>
      <c r="D18" s="28">
        <f t="shared" si="5"/>
        <v>6328</v>
      </c>
      <c r="E18" s="28">
        <f t="shared" si="5"/>
        <v>7499</v>
      </c>
      <c r="F18" s="28">
        <f t="shared" si="5"/>
        <v>8880</v>
      </c>
      <c r="G18" s="28">
        <f t="shared" si="5"/>
        <v>9861</v>
      </c>
      <c r="H18" s="28">
        <f t="shared" si="5"/>
        <v>11626</v>
      </c>
      <c r="I18" s="28">
        <f t="shared" si="5"/>
        <v>12857</v>
      </c>
      <c r="J18" s="28">
        <f t="shared" si="5"/>
        <v>14147</v>
      </c>
      <c r="K18" s="28">
        <f t="shared" si="5"/>
        <v>14659</v>
      </c>
      <c r="L18" s="28">
        <f t="shared" si="5"/>
        <v>14843</v>
      </c>
      <c r="M18" s="28">
        <f>IFERROR(SUM('Data Sheet'!H51:K51),0)</f>
        <v>16035</v>
      </c>
    </row>
    <row r="19" spans="2:13" x14ac:dyDescent="0.3">
      <c r="B19" s="17" t="s">
        <v>88</v>
      </c>
      <c r="C19" s="17">
        <f>IFERROR(C18/C6,0)</f>
        <v>0.18362020754365252</v>
      </c>
      <c r="D19" s="17">
        <f t="shared" ref="D19:M19" si="6">IFERROR(D18/D6,0)</f>
        <v>0.1908208190097099</v>
      </c>
      <c r="E19" s="17">
        <f t="shared" si="6"/>
        <v>0.21097200731467156</v>
      </c>
      <c r="F19" s="17">
        <f t="shared" si="6"/>
        <v>0.2258967183922666</v>
      </c>
      <c r="G19" s="17">
        <f t="shared" si="6"/>
        <v>0.24786969308498605</v>
      </c>
      <c r="H19" s="17">
        <f t="shared" si="6"/>
        <v>0.24721442544866887</v>
      </c>
      <c r="I19" s="17">
        <f t="shared" si="6"/>
        <v>0.24514738969606834</v>
      </c>
      <c r="J19" s="17">
        <f t="shared" si="6"/>
        <v>0.23352591614394189</v>
      </c>
      <c r="K19" s="17">
        <f t="shared" si="6"/>
        <v>0.23683275171255008</v>
      </c>
      <c r="L19" s="17">
        <f t="shared" si="6"/>
        <v>0.23515153435465216</v>
      </c>
      <c r="M19" s="17">
        <f t="shared" si="6"/>
        <v>0.24959917812057344</v>
      </c>
    </row>
    <row r="21" spans="2:13" x14ac:dyDescent="0.3">
      <c r="B21" t="s">
        <v>89</v>
      </c>
      <c r="C21" s="8">
        <f>IFERROR('Data Sheet'!B27,0)</f>
        <v>17</v>
      </c>
      <c r="D21" s="8">
        <f>IFERROR('Data Sheet'!C27,0)</f>
        <v>35</v>
      </c>
      <c r="E21" s="8">
        <f>IFERROR('Data Sheet'!D27,0)</f>
        <v>26</v>
      </c>
      <c r="F21" s="8">
        <f>IFERROR('Data Sheet'!E27,0)</f>
        <v>33</v>
      </c>
      <c r="G21" s="8">
        <f>IFERROR('Data Sheet'!F27,0)</f>
        <v>118</v>
      </c>
      <c r="H21" s="8">
        <f>IFERROR('Data Sheet'!G27,0)</f>
        <v>117</v>
      </c>
      <c r="I21" s="8">
        <f>IFERROR('Data Sheet'!H27,0)</f>
        <v>106</v>
      </c>
      <c r="J21" s="8">
        <f>IFERROR('Data Sheet'!I27,0)</f>
        <v>114</v>
      </c>
      <c r="K21" s="8">
        <f>IFERROR('Data Sheet'!J27,0)</f>
        <v>334</v>
      </c>
      <c r="L21" s="8">
        <f>IFERROR('Data Sheet'!K27,0)</f>
        <v>395</v>
      </c>
      <c r="M21" s="8">
        <f>IFERROR(SUM('Data Sheet'!H46:K46),0)</f>
        <v>448</v>
      </c>
    </row>
    <row r="22" spans="2:13" x14ac:dyDescent="0.3">
      <c r="B22" s="17" t="s">
        <v>90</v>
      </c>
      <c r="C22" s="17">
        <f>IFERROR(C21/C6,0)</f>
        <v>5.2817995401727462E-4</v>
      </c>
      <c r="D22" s="17">
        <f t="shared" ref="D22:M22" si="7">IFERROR(D21/D6,0)</f>
        <v>1.0554248839032628E-3</v>
      </c>
      <c r="E22" s="17">
        <f t="shared" si="7"/>
        <v>7.3146715431143621E-4</v>
      </c>
      <c r="F22" s="17">
        <f t="shared" si="7"/>
        <v>8.3948104807936915E-4</v>
      </c>
      <c r="G22" s="17">
        <f t="shared" si="7"/>
        <v>2.9660910439132291E-3</v>
      </c>
      <c r="H22" s="17">
        <f t="shared" si="7"/>
        <v>2.4878795611125285E-3</v>
      </c>
      <c r="I22" s="17">
        <f t="shared" si="7"/>
        <v>2.0211264920108303E-3</v>
      </c>
      <c r="J22" s="17">
        <f t="shared" si="7"/>
        <v>1.881809177946517E-3</v>
      </c>
      <c r="K22" s="17">
        <f t="shared" si="7"/>
        <v>5.3961483779242604E-3</v>
      </c>
      <c r="L22" s="17">
        <f t="shared" si="7"/>
        <v>6.2578222778473091E-3</v>
      </c>
      <c r="M22" s="17">
        <f t="shared" si="7"/>
        <v>6.9735224071105027E-3</v>
      </c>
    </row>
    <row r="24" spans="2:13" x14ac:dyDescent="0.3">
      <c r="B24" t="s">
        <v>5</v>
      </c>
      <c r="C24" s="8">
        <f>IFERROR('Data Sheet'!B26,0)</f>
        <v>353</v>
      </c>
      <c r="D24" s="8">
        <f>IFERROR('Data Sheet'!C26,0)</f>
        <v>432</v>
      </c>
      <c r="E24" s="8">
        <f>IFERROR('Data Sheet'!D26,0)</f>
        <v>520</v>
      </c>
      <c r="F24" s="8">
        <f>IFERROR('Data Sheet'!E26,0)</f>
        <v>565</v>
      </c>
      <c r="G24" s="8">
        <f>IFERROR('Data Sheet'!F26,0)</f>
        <v>1002</v>
      </c>
      <c r="H24" s="8">
        <f>IFERROR('Data Sheet'!G26,0)</f>
        <v>1074</v>
      </c>
      <c r="I24" s="8">
        <f>IFERROR('Data Sheet'!H26,0)</f>
        <v>1091</v>
      </c>
      <c r="J24" s="8">
        <f>IFERROR('Data Sheet'!I26,0)</f>
        <v>1137</v>
      </c>
      <c r="K24" s="8">
        <f>IFERROR('Data Sheet'!J26,0)</f>
        <v>1216</v>
      </c>
      <c r="L24" s="8">
        <f>IFERROR('Data Sheet'!K26,0)</f>
        <v>1355</v>
      </c>
      <c r="M24" s="8">
        <f>IFERROR(SUM('Data Sheet'!H45:K45),0)</f>
        <v>1407</v>
      </c>
    </row>
    <row r="25" spans="2:13" x14ac:dyDescent="0.3">
      <c r="B25" s="17" t="s">
        <v>91</v>
      </c>
      <c r="C25" s="17">
        <f>IFERROR(C24/C6,0)</f>
        <v>1.0967501398123409E-2</v>
      </c>
      <c r="D25" s="17">
        <f t="shared" ref="D25:M25" si="8">IFERROR(D24/D6,0)</f>
        <v>1.3026958567034558E-2</v>
      </c>
      <c r="E25" s="17">
        <f t="shared" si="8"/>
        <v>1.4629343086228723E-2</v>
      </c>
      <c r="F25" s="17">
        <f t="shared" si="8"/>
        <v>1.437293309590435E-2</v>
      </c>
      <c r="G25" s="17">
        <f t="shared" si="8"/>
        <v>2.5186637508483524E-2</v>
      </c>
      <c r="H25" s="17">
        <f t="shared" si="8"/>
        <v>2.2837458535340648E-2</v>
      </c>
      <c r="I25" s="17">
        <f t="shared" si="8"/>
        <v>2.0802349082866187E-2</v>
      </c>
      <c r="J25" s="17">
        <f t="shared" si="8"/>
        <v>1.8768570485308684E-2</v>
      </c>
      <c r="K25" s="17">
        <f t="shared" si="8"/>
        <v>1.9645857567532635E-2</v>
      </c>
      <c r="L25" s="17">
        <f t="shared" si="8"/>
        <v>2.1466706801223048E-2</v>
      </c>
      <c r="M25" s="17">
        <f t="shared" si="8"/>
        <v>2.1901218809831421E-2</v>
      </c>
    </row>
    <row r="27" spans="2:13" x14ac:dyDescent="0.3">
      <c r="B27" s="26" t="s">
        <v>93</v>
      </c>
      <c r="C27" s="28">
        <f>IFERROR(C18-SUM(C21+C24),0)</f>
        <v>5540</v>
      </c>
      <c r="D27" s="28">
        <f t="shared" ref="D27:L27" si="9">IFERROR(D18-SUM(D21+D24),0)</f>
        <v>5861</v>
      </c>
      <c r="E27" s="28">
        <f t="shared" si="9"/>
        <v>6953</v>
      </c>
      <c r="F27" s="28">
        <f t="shared" si="9"/>
        <v>8282</v>
      </c>
      <c r="G27" s="28">
        <f t="shared" si="9"/>
        <v>8741</v>
      </c>
      <c r="H27" s="28">
        <f t="shared" si="9"/>
        <v>10435</v>
      </c>
      <c r="I27" s="28">
        <f t="shared" si="9"/>
        <v>11660</v>
      </c>
      <c r="J27" s="28">
        <f t="shared" si="9"/>
        <v>12896</v>
      </c>
      <c r="K27" s="28">
        <f t="shared" si="9"/>
        <v>13109</v>
      </c>
      <c r="L27" s="28">
        <f t="shared" si="9"/>
        <v>13093</v>
      </c>
      <c r="M27" s="28">
        <f>IFERROR(M18-SUM(M21+M24),0)</f>
        <v>14180</v>
      </c>
    </row>
    <row r="28" spans="2:13" x14ac:dyDescent="0.3">
      <c r="B28" s="17" t="s">
        <v>94</v>
      </c>
      <c r="C28" s="17">
        <f>IFERROR(C27/C6,0)</f>
        <v>0.17212452619151183</v>
      </c>
      <c r="D28" s="17">
        <f t="shared" ref="D28:M28" si="10">IFERROR(D27/D6,0)</f>
        <v>0.17673843555877208</v>
      </c>
      <c r="E28" s="17">
        <f t="shared" si="10"/>
        <v>0.19561119707413138</v>
      </c>
      <c r="F28" s="17">
        <f t="shared" si="10"/>
        <v>0.21068430424828288</v>
      </c>
      <c r="G28" s="17">
        <f t="shared" si="10"/>
        <v>0.21971696453258929</v>
      </c>
      <c r="H28" s="17">
        <f t="shared" si="10"/>
        <v>0.22188908735221571</v>
      </c>
      <c r="I28" s="17">
        <f t="shared" si="10"/>
        <v>0.22232391412119132</v>
      </c>
      <c r="J28" s="17">
        <f t="shared" si="10"/>
        <v>0.21287553648068669</v>
      </c>
      <c r="K28" s="17">
        <f t="shared" si="10"/>
        <v>0.2117907457670932</v>
      </c>
      <c r="L28" s="17">
        <f t="shared" si="10"/>
        <v>0.20742700527558183</v>
      </c>
      <c r="M28" s="17">
        <f t="shared" si="10"/>
        <v>0.22072443690363153</v>
      </c>
    </row>
    <row r="30" spans="2:13" x14ac:dyDescent="0.3">
      <c r="B30" t="s">
        <v>8</v>
      </c>
      <c r="C30" s="8">
        <f>IFERROR('Data Sheet'!B29,0)</f>
        <v>1875</v>
      </c>
      <c r="D30" s="8">
        <f>IFERROR('Data Sheet'!C29,0)</f>
        <v>1977</v>
      </c>
      <c r="E30" s="8">
        <f>IFERROR('Data Sheet'!D29,0)</f>
        <v>2079</v>
      </c>
      <c r="F30" s="8">
        <f>IFERROR('Data Sheet'!E29,0)</f>
        <v>2544</v>
      </c>
      <c r="G30" s="8">
        <f>IFERROR('Data Sheet'!F29,0)</f>
        <v>2409</v>
      </c>
      <c r="H30" s="8">
        <f>IFERROR('Data Sheet'!G29,0)</f>
        <v>2606</v>
      </c>
      <c r="I30" s="8">
        <f>IFERROR('Data Sheet'!H29,0)</f>
        <v>2987</v>
      </c>
      <c r="J30" s="8">
        <f>IFERROR('Data Sheet'!I29,0)</f>
        <v>3201</v>
      </c>
      <c r="K30" s="8">
        <f>IFERROR('Data Sheet'!J29,0)</f>
        <v>3644</v>
      </c>
      <c r="L30" s="8">
        <f>IFERROR('Data Sheet'!K29,0)</f>
        <v>3744</v>
      </c>
      <c r="M30" s="8">
        <f>IFERROR(SUM('Data Sheet'!H48:K48),0)</f>
        <v>3291</v>
      </c>
    </row>
    <row r="31" spans="2:13" x14ac:dyDescent="0.3">
      <c r="B31" s="17" t="s">
        <v>95</v>
      </c>
      <c r="C31" s="17">
        <f>IFERROR(C30/C27,0)</f>
        <v>0.33844765342960287</v>
      </c>
      <c r="D31" s="17">
        <f t="shared" ref="D31:M31" si="11">IFERROR(D30/D27,0)</f>
        <v>0.33731445145879541</v>
      </c>
      <c r="E31" s="17">
        <f t="shared" si="11"/>
        <v>0.29900762260894576</v>
      </c>
      <c r="F31" s="17">
        <f t="shared" si="11"/>
        <v>0.30717218063269741</v>
      </c>
      <c r="G31" s="17">
        <f t="shared" si="11"/>
        <v>0.27559775769362771</v>
      </c>
      <c r="H31" s="17">
        <f t="shared" si="11"/>
        <v>0.24973646382367035</v>
      </c>
      <c r="I31" s="17">
        <f t="shared" si="11"/>
        <v>0.25617495711835336</v>
      </c>
      <c r="J31" s="17">
        <f t="shared" si="11"/>
        <v>0.24821650124069478</v>
      </c>
      <c r="K31" s="17">
        <f t="shared" si="11"/>
        <v>0.27797696239224962</v>
      </c>
      <c r="L31" s="17">
        <f t="shared" si="11"/>
        <v>0.28595432673947913</v>
      </c>
      <c r="M31" s="17">
        <f t="shared" si="11"/>
        <v>0.23208744710860366</v>
      </c>
    </row>
    <row r="33" spans="1:13" x14ac:dyDescent="0.3">
      <c r="B33" s="26" t="s">
        <v>96</v>
      </c>
      <c r="C33" s="28">
        <f>IFERROR(C27-C30,0)</f>
        <v>3665</v>
      </c>
      <c r="D33" s="28">
        <f t="shared" ref="D33:M33" si="12">IFERROR(D27-D30,0)</f>
        <v>3884</v>
      </c>
      <c r="E33" s="28">
        <f t="shared" si="12"/>
        <v>4874</v>
      </c>
      <c r="F33" s="28">
        <f t="shared" si="12"/>
        <v>5738</v>
      </c>
      <c r="G33" s="28">
        <f t="shared" si="12"/>
        <v>6332</v>
      </c>
      <c r="H33" s="28">
        <f t="shared" si="12"/>
        <v>7829</v>
      </c>
      <c r="I33" s="28">
        <f t="shared" si="12"/>
        <v>8673</v>
      </c>
      <c r="J33" s="28">
        <f t="shared" si="12"/>
        <v>9695</v>
      </c>
      <c r="K33" s="28">
        <f t="shared" si="12"/>
        <v>9465</v>
      </c>
      <c r="L33" s="28">
        <f t="shared" si="12"/>
        <v>9349</v>
      </c>
      <c r="M33" s="28">
        <f t="shared" si="12"/>
        <v>10889</v>
      </c>
    </row>
    <row r="34" spans="1:13" x14ac:dyDescent="0.3">
      <c r="B34" s="17" t="s">
        <v>97</v>
      </c>
      <c r="C34" s="17">
        <f>IFERROR(C33/C6,0)</f>
        <v>0.11386938420431243</v>
      </c>
      <c r="D34" s="17">
        <f t="shared" ref="D34:M34" si="13">IFERROR(D33/D6,0)</f>
        <v>0.11712200711657922</v>
      </c>
      <c r="E34" s="17">
        <f t="shared" si="13"/>
        <v>0.1371219580813054</v>
      </c>
      <c r="F34" s="17">
        <f t="shared" si="13"/>
        <v>0.14596794708725516</v>
      </c>
      <c r="G34" s="17">
        <f t="shared" si="13"/>
        <v>0.15916346178015736</v>
      </c>
      <c r="H34" s="17">
        <f t="shared" si="13"/>
        <v>0.16647529131581185</v>
      </c>
      <c r="I34" s="17">
        <f t="shared" si="13"/>
        <v>0.16537009495481067</v>
      </c>
      <c r="J34" s="17">
        <f t="shared" si="13"/>
        <v>0.16003631561571477</v>
      </c>
      <c r="K34" s="17">
        <f t="shared" si="13"/>
        <v>0.15291779759596744</v>
      </c>
      <c r="L34" s="17">
        <f t="shared" si="13"/>
        <v>0.14811235563441644</v>
      </c>
      <c r="M34" s="17">
        <f t="shared" si="13"/>
        <v>0.16949706582818361</v>
      </c>
    </row>
    <row r="36" spans="1:13" x14ac:dyDescent="0.3">
      <c r="B36" t="s">
        <v>98</v>
      </c>
      <c r="C36">
        <f>IFERROR('Data Sheet'!B93,0)</f>
        <v>216.39</v>
      </c>
      <c r="D36">
        <f>IFERROR('Data Sheet'!C93,0)</f>
        <v>216.43</v>
      </c>
      <c r="E36">
        <f>IFERROR('Data Sheet'!D93,0)</f>
        <v>216.45</v>
      </c>
      <c r="F36">
        <f>IFERROR('Data Sheet'!E93,0)</f>
        <v>216.47</v>
      </c>
      <c r="G36">
        <f>IFERROR('Data Sheet'!F93,0)</f>
        <v>216.48</v>
      </c>
      <c r="H36">
        <f>IFERROR('Data Sheet'!G93,0)</f>
        <v>234.96</v>
      </c>
      <c r="I36">
        <f>IFERROR('Data Sheet'!H93,0)</f>
        <v>234.96</v>
      </c>
      <c r="J36">
        <f>IFERROR('Data Sheet'!I93,0)</f>
        <v>234.96</v>
      </c>
      <c r="K36">
        <f>IFERROR('Data Sheet'!J93,0)</f>
        <v>234.96</v>
      </c>
      <c r="L36">
        <f>IFERROR('Data Sheet'!K93,0)</f>
        <v>234.96</v>
      </c>
      <c r="M36">
        <f>IFERROR('Data Sheet'!L93,0)</f>
        <v>0</v>
      </c>
    </row>
    <row r="38" spans="1:13" x14ac:dyDescent="0.3">
      <c r="B38" t="s">
        <v>99</v>
      </c>
      <c r="C38" s="8">
        <f>IFERROR(C33/C36,0)</f>
        <v>16.937011876704101</v>
      </c>
      <c r="D38" s="8">
        <f t="shared" ref="D38:M38" si="14">IFERROR(D33/D36,0)</f>
        <v>17.945756133622879</v>
      </c>
      <c r="E38" s="8">
        <f t="shared" si="14"/>
        <v>22.51790251790252</v>
      </c>
      <c r="F38" s="8">
        <f t="shared" si="14"/>
        <v>26.507137247655564</v>
      </c>
      <c r="G38" s="8">
        <f t="shared" si="14"/>
        <v>29.249815225424982</v>
      </c>
      <c r="H38" s="8">
        <f t="shared" si="14"/>
        <v>33.320565202587673</v>
      </c>
      <c r="I38" s="8">
        <f t="shared" si="14"/>
        <v>36.912665985699689</v>
      </c>
      <c r="J38" s="8">
        <f t="shared" si="14"/>
        <v>41.262342526387471</v>
      </c>
      <c r="K38" s="8">
        <f t="shared" si="14"/>
        <v>40.283452502553622</v>
      </c>
      <c r="L38" s="8">
        <f t="shared" si="14"/>
        <v>39.789751447054819</v>
      </c>
      <c r="M38" s="8">
        <f t="shared" si="14"/>
        <v>0</v>
      </c>
    </row>
    <row r="39" spans="1:13" x14ac:dyDescent="0.3">
      <c r="B39" s="17" t="s">
        <v>101</v>
      </c>
      <c r="C39" s="17"/>
      <c r="D39" s="17">
        <f>IFERROR(D38/C38-1,0)</f>
        <v>5.9558572920778818E-2</v>
      </c>
      <c r="E39" s="17">
        <f t="shared" ref="E39:M39" si="15">E38/D38-1</f>
        <v>0.25477591193348159</v>
      </c>
      <c r="F39" s="17">
        <f t="shared" si="15"/>
        <v>0.17715836217789205</v>
      </c>
      <c r="G39" s="17">
        <f t="shared" si="15"/>
        <v>0.10346941475213423</v>
      </c>
      <c r="H39" s="17">
        <f t="shared" si="15"/>
        <v>0.1391718185496178</v>
      </c>
      <c r="I39" s="17">
        <f t="shared" si="15"/>
        <v>0.10780431728190054</v>
      </c>
      <c r="J39" s="17">
        <f t="shared" si="15"/>
        <v>0.11783696529459253</v>
      </c>
      <c r="K39" s="17">
        <f t="shared" si="15"/>
        <v>-2.3723568849922771E-2</v>
      </c>
      <c r="L39" s="17">
        <f t="shared" si="15"/>
        <v>-1.2255678816692983E-2</v>
      </c>
      <c r="M39" s="17">
        <f t="shared" si="15"/>
        <v>-1</v>
      </c>
    </row>
    <row r="41" spans="1:13" x14ac:dyDescent="0.3">
      <c r="B41" t="s">
        <v>100</v>
      </c>
      <c r="C41" s="8">
        <f>IFERROR('Data Sheet'!B31/HistoricalFS!C36,0)</f>
        <v>15.971163177596008</v>
      </c>
      <c r="D41" s="8">
        <f>IFERROR('Data Sheet'!C31/HistoricalFS!D36,0)</f>
        <v>16.966224645381878</v>
      </c>
      <c r="E41" s="8">
        <f>IFERROR('Data Sheet'!D31/HistoricalFS!E36,0)</f>
        <v>19.95841995841996</v>
      </c>
      <c r="F41" s="8">
        <f>IFERROR('Data Sheet'!E31/HistoricalFS!F36,0)</f>
        <v>21.95223356585208</v>
      </c>
      <c r="G41" s="8">
        <f>IFERROR('Data Sheet'!F31/HistoricalFS!G36,0)</f>
        <v>24.944567627494457</v>
      </c>
      <c r="H41" s="8">
        <f>IFERROR('Data Sheet'!G31/HistoricalFS!H36,0)</f>
        <v>40.506894790602651</v>
      </c>
      <c r="I41" s="8">
        <f>IFERROR('Data Sheet'!H31/HistoricalFS!I36,0)</f>
        <v>34.005788219271366</v>
      </c>
      <c r="J41" s="8">
        <f>IFERROR('Data Sheet'!I31/HistoricalFS!J36,0)</f>
        <v>39.006639427987743</v>
      </c>
      <c r="K41" s="8">
        <f>IFERROR('Data Sheet'!J31/HistoricalFS!K36,0)</f>
        <v>42.007150153217566</v>
      </c>
      <c r="L41" s="8">
        <f>IFERROR('Data Sheet'!K31/HistoricalFS!L36,0)</f>
        <v>53.009022812393596</v>
      </c>
      <c r="M41" s="8">
        <f>IFERROR('Data Sheet'!L31/HistoricalFS!M36,0)</f>
        <v>0</v>
      </c>
    </row>
    <row r="42" spans="1:13" x14ac:dyDescent="0.3">
      <c r="B42" s="17" t="s">
        <v>102</v>
      </c>
      <c r="C42" s="17">
        <f>IFERROR(C41/C38,0)</f>
        <v>0.94297407912687581</v>
      </c>
      <c r="D42" s="17">
        <f t="shared" ref="D42:M42" si="16">IFERROR(D41/D38,0)</f>
        <v>0.94541709577754895</v>
      </c>
      <c r="E42" s="17">
        <f t="shared" si="16"/>
        <v>0.88633565859663521</v>
      </c>
      <c r="F42" s="17">
        <f t="shared" si="16"/>
        <v>0.82816312303938655</v>
      </c>
      <c r="G42" s="17">
        <f t="shared" si="16"/>
        <v>0.85281111813013266</v>
      </c>
      <c r="H42" s="17">
        <f t="shared" si="16"/>
        <v>1.2156724996806743</v>
      </c>
      <c r="I42" s="17">
        <f t="shared" si="16"/>
        <v>0.92124985587455333</v>
      </c>
      <c r="J42" s="17">
        <f t="shared" si="16"/>
        <v>0.94533264569365649</v>
      </c>
      <c r="K42" s="17">
        <f t="shared" si="16"/>
        <v>1.0427892234548337</v>
      </c>
      <c r="L42" s="17">
        <f t="shared" si="16"/>
        <v>1.3322280457802973</v>
      </c>
      <c r="M42" s="17">
        <f t="shared" si="16"/>
        <v>0</v>
      </c>
    </row>
    <row r="44" spans="1:13" x14ac:dyDescent="0.3">
      <c r="B44" t="s">
        <v>103</v>
      </c>
      <c r="C44" s="10">
        <f>IFERROR(IF(C38&gt;C41,1-C42,0),0)</f>
        <v>5.7025920873124192E-2</v>
      </c>
      <c r="D44" s="10">
        <f t="shared" ref="D44:M44" si="17">IFERROR(IF(D38&gt;D41,1-D42,0),0)</f>
        <v>5.4582904222451045E-2</v>
      </c>
      <c r="E44" s="10">
        <f t="shared" si="17"/>
        <v>0.11366434140336479</v>
      </c>
      <c r="F44" s="10">
        <f t="shared" si="17"/>
        <v>0.17183687696061345</v>
      </c>
      <c r="G44" s="10">
        <f t="shared" si="17"/>
        <v>0.14718888186986734</v>
      </c>
      <c r="H44" s="10">
        <f t="shared" si="17"/>
        <v>0</v>
      </c>
      <c r="I44" s="10">
        <f t="shared" si="17"/>
        <v>7.8750144125446675E-2</v>
      </c>
      <c r="J44" s="10">
        <f t="shared" si="17"/>
        <v>5.4667354306343507E-2</v>
      </c>
      <c r="K44" s="10">
        <f t="shared" si="17"/>
        <v>0</v>
      </c>
      <c r="L44" s="10">
        <f t="shared" si="17"/>
        <v>0</v>
      </c>
      <c r="M44" s="10">
        <f t="shared" si="17"/>
        <v>0</v>
      </c>
    </row>
    <row r="46" spans="1:13" x14ac:dyDescent="0.3">
      <c r="A46" s="9" t="s">
        <v>56</v>
      </c>
      <c r="B46" s="21" t="s">
        <v>104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3">
      <c r="B47" t="s">
        <v>10</v>
      </c>
      <c r="C47" s="8">
        <f>IFERROR('Data Sheet'!B57,0)</f>
        <v>216</v>
      </c>
      <c r="D47" s="8">
        <f>IFERROR('Data Sheet'!C57,0)</f>
        <v>216</v>
      </c>
      <c r="E47" s="8">
        <f>IFERROR('Data Sheet'!D57,0)</f>
        <v>216</v>
      </c>
      <c r="F47" s="8">
        <f>IFERROR('Data Sheet'!E57,0)</f>
        <v>216</v>
      </c>
      <c r="G47" s="8">
        <f>IFERROR('Data Sheet'!F57,0)</f>
        <v>216</v>
      </c>
      <c r="H47" s="8">
        <f>IFERROR('Data Sheet'!G57,0)</f>
        <v>235</v>
      </c>
      <c r="I47" s="8">
        <f>IFERROR('Data Sheet'!H57,0)</f>
        <v>235</v>
      </c>
      <c r="J47" s="8">
        <f>IFERROR('Data Sheet'!I57,0)</f>
        <v>235</v>
      </c>
      <c r="K47" s="8">
        <f>IFERROR('Data Sheet'!J57,0)</f>
        <v>235</v>
      </c>
      <c r="L47" s="8">
        <f>IFERROR('Data Sheet'!K57,0)</f>
        <v>235</v>
      </c>
    </row>
    <row r="48" spans="1:13" x14ac:dyDescent="0.3">
      <c r="B48" t="s">
        <v>11</v>
      </c>
      <c r="C48" s="8">
        <f>IFERROR('Data Sheet'!B58,0)</f>
        <v>6357</v>
      </c>
      <c r="D48" s="8">
        <f>IFERROR('Data Sheet'!C58,0)</f>
        <v>6528</v>
      </c>
      <c r="E48" s="8">
        <f>IFERROR('Data Sheet'!D58,0)</f>
        <v>7065</v>
      </c>
      <c r="F48" s="8">
        <f>IFERROR('Data Sheet'!E58,0)</f>
        <v>7651</v>
      </c>
      <c r="G48" s="8">
        <f>IFERROR('Data Sheet'!F58,0)</f>
        <v>8013</v>
      </c>
      <c r="H48" s="8">
        <f>IFERROR('Data Sheet'!G58,0)</f>
        <v>47439</v>
      </c>
      <c r="I48" s="8">
        <f>IFERROR('Data Sheet'!H58,0)</f>
        <v>48826</v>
      </c>
      <c r="J48" s="8">
        <f>IFERROR('Data Sheet'!I58,0)</f>
        <v>50069</v>
      </c>
      <c r="K48" s="8">
        <f>IFERROR('Data Sheet'!J58,0)</f>
        <v>50983</v>
      </c>
      <c r="L48" s="8">
        <f>IFERROR('Data Sheet'!K58,0)</f>
        <v>49167</v>
      </c>
    </row>
    <row r="49" spans="2:12" x14ac:dyDescent="0.3">
      <c r="B49" t="s">
        <v>35</v>
      </c>
      <c r="C49" s="8">
        <f>IFERROR('Data Sheet'!B59,0)</f>
        <v>177</v>
      </c>
      <c r="D49" s="8">
        <f>IFERROR('Data Sheet'!C59,0)</f>
        <v>277</v>
      </c>
      <c r="E49" s="8">
        <f>IFERROR('Data Sheet'!D59,0)</f>
        <v>0</v>
      </c>
      <c r="F49" s="8">
        <f>IFERROR('Data Sheet'!E59,0)</f>
        <v>99</v>
      </c>
      <c r="G49" s="8">
        <f>IFERROR('Data Sheet'!F59,0)</f>
        <v>0</v>
      </c>
      <c r="H49" s="8">
        <f>IFERROR('Data Sheet'!G59,0)</f>
        <v>0</v>
      </c>
      <c r="I49" s="8">
        <f>IFERROR('Data Sheet'!H59,0)</f>
        <v>1043</v>
      </c>
      <c r="J49" s="8">
        <f>IFERROR('Data Sheet'!I59,0)</f>
        <v>1219</v>
      </c>
      <c r="K49" s="8">
        <f>IFERROR('Data Sheet'!J59,0)</f>
        <v>1484</v>
      </c>
      <c r="L49" s="8">
        <f>IFERROR('Data Sheet'!K59,0)</f>
        <v>1648</v>
      </c>
    </row>
    <row r="50" spans="2:12" x14ac:dyDescent="0.3">
      <c r="B50" t="s">
        <v>36</v>
      </c>
      <c r="C50" s="8">
        <f>IFERROR('Data Sheet'!B60,0)</f>
        <v>8043</v>
      </c>
      <c r="D50" s="8">
        <f>IFERROR('Data Sheet'!C60,0)</f>
        <v>8685</v>
      </c>
      <c r="E50" s="8">
        <f>IFERROR('Data Sheet'!D60,0)</f>
        <v>10581</v>
      </c>
      <c r="F50" s="8">
        <f>IFERROR('Data Sheet'!E60,0)</f>
        <v>10663</v>
      </c>
      <c r="G50" s="8">
        <f>IFERROR('Data Sheet'!F60,0)</f>
        <v>11924</v>
      </c>
      <c r="H50" s="8">
        <f>IFERROR('Data Sheet'!G60,0)</f>
        <v>21066</v>
      </c>
      <c r="I50" s="8">
        <f>IFERROR('Data Sheet'!H60,0)</f>
        <v>20402</v>
      </c>
      <c r="J50" s="8">
        <f>IFERROR('Data Sheet'!I60,0)</f>
        <v>21554</v>
      </c>
      <c r="K50" s="8">
        <f>IFERROR('Data Sheet'!J60,0)</f>
        <v>25787</v>
      </c>
      <c r="L50" s="8">
        <f>IFERROR('Data Sheet'!K60,0)</f>
        <v>28813</v>
      </c>
    </row>
    <row r="51" spans="2:12" x14ac:dyDescent="0.3">
      <c r="B51" s="26" t="s">
        <v>105</v>
      </c>
      <c r="C51" s="28">
        <f>IFERROR('Data Sheet'!B61,0)</f>
        <v>14793</v>
      </c>
      <c r="D51" s="28">
        <f>IFERROR('Data Sheet'!C61,0)</f>
        <v>15706</v>
      </c>
      <c r="E51" s="28">
        <f>IFERROR('Data Sheet'!D61,0)</f>
        <v>17862</v>
      </c>
      <c r="F51" s="28">
        <f>IFERROR('Data Sheet'!E61,0)</f>
        <v>18629</v>
      </c>
      <c r="G51" s="28">
        <f>IFERROR('Data Sheet'!F61,0)</f>
        <v>20153</v>
      </c>
      <c r="H51" s="28">
        <f>IFERROR('Data Sheet'!G61,0)</f>
        <v>68740</v>
      </c>
      <c r="I51" s="28">
        <f>IFERROR('Data Sheet'!H61,0)</f>
        <v>70506</v>
      </c>
      <c r="J51" s="28">
        <f>IFERROR('Data Sheet'!I61,0)</f>
        <v>73077</v>
      </c>
      <c r="K51" s="28">
        <f>IFERROR('Data Sheet'!J61,0)</f>
        <v>78489</v>
      </c>
      <c r="L51" s="28">
        <f>IFERROR('Data Sheet'!K61,0)</f>
        <v>79863</v>
      </c>
    </row>
    <row r="53" spans="2:12" x14ac:dyDescent="0.3">
      <c r="B53" t="s">
        <v>106</v>
      </c>
      <c r="C53" s="8">
        <f>IFERROR('Data Sheet'!B62,0)</f>
        <v>3258</v>
      </c>
      <c r="D53" s="8">
        <f>IFERROR('Data Sheet'!C62,0)</f>
        <v>4419</v>
      </c>
      <c r="E53" s="8">
        <f>IFERROR('Data Sheet'!D62,0)</f>
        <v>4528</v>
      </c>
      <c r="F53" s="8">
        <f>IFERROR('Data Sheet'!E62,0)</f>
        <v>4715</v>
      </c>
      <c r="G53" s="8">
        <f>IFERROR('Data Sheet'!F62,0)</f>
        <v>5479</v>
      </c>
      <c r="H53" s="8">
        <f>IFERROR('Data Sheet'!G62,0)</f>
        <v>51443</v>
      </c>
      <c r="I53" s="8">
        <f>IFERROR('Data Sheet'!H62,0)</f>
        <v>51473</v>
      </c>
      <c r="J53" s="8">
        <f>IFERROR('Data Sheet'!I62,0)</f>
        <v>52678</v>
      </c>
      <c r="K53" s="8">
        <f>IFERROR('Data Sheet'!J62,0)</f>
        <v>53744</v>
      </c>
      <c r="L53" s="8">
        <f>IFERROR('Data Sheet'!K62,0)</f>
        <v>54335</v>
      </c>
    </row>
    <row r="54" spans="2:12" x14ac:dyDescent="0.3">
      <c r="B54" t="s">
        <v>14</v>
      </c>
      <c r="C54" s="8">
        <f>IFERROR('Data Sheet'!B63,0)</f>
        <v>408</v>
      </c>
      <c r="D54" s="8">
        <f>IFERROR('Data Sheet'!C63,0)</f>
        <v>229</v>
      </c>
      <c r="E54" s="8">
        <f>IFERROR('Data Sheet'!D63,0)</f>
        <v>461</v>
      </c>
      <c r="F54" s="8">
        <f>IFERROR('Data Sheet'!E63,0)</f>
        <v>406</v>
      </c>
      <c r="G54" s="8">
        <f>IFERROR('Data Sheet'!F63,0)</f>
        <v>597</v>
      </c>
      <c r="H54" s="8">
        <f>IFERROR('Data Sheet'!G63,0)</f>
        <v>745</v>
      </c>
      <c r="I54" s="8">
        <f>IFERROR('Data Sheet'!H63,0)</f>
        <v>1313</v>
      </c>
      <c r="J54" s="8">
        <f>IFERROR('Data Sheet'!I63,0)</f>
        <v>1132</v>
      </c>
      <c r="K54" s="8">
        <f>IFERROR('Data Sheet'!J63,0)</f>
        <v>1025</v>
      </c>
      <c r="L54" s="8">
        <f>IFERROR('Data Sheet'!K63,0)</f>
        <v>1009</v>
      </c>
    </row>
    <row r="55" spans="2:12" x14ac:dyDescent="0.3">
      <c r="B55" t="s">
        <v>15</v>
      </c>
      <c r="C55" s="8">
        <f>IFERROR('Data Sheet'!B64,0)</f>
        <v>2592</v>
      </c>
      <c r="D55" s="8">
        <f>IFERROR('Data Sheet'!C64,0)</f>
        <v>3794</v>
      </c>
      <c r="E55" s="8">
        <f>IFERROR('Data Sheet'!D64,0)</f>
        <v>2873</v>
      </c>
      <c r="F55" s="8">
        <f>IFERROR('Data Sheet'!E64,0)</f>
        <v>2716</v>
      </c>
      <c r="G55" s="8">
        <f>IFERROR('Data Sheet'!F64,0)</f>
        <v>1255</v>
      </c>
      <c r="H55" s="8">
        <f>IFERROR('Data Sheet'!G64,0)</f>
        <v>2709</v>
      </c>
      <c r="I55" s="8">
        <f>IFERROR('Data Sheet'!H64,0)</f>
        <v>3521</v>
      </c>
      <c r="J55" s="8">
        <f>IFERROR('Data Sheet'!I64,0)</f>
        <v>2882</v>
      </c>
      <c r="K55" s="8">
        <f>IFERROR('Data Sheet'!J64,0)</f>
        <v>4625</v>
      </c>
      <c r="L55" s="8">
        <f>IFERROR('Data Sheet'!K64,0)</f>
        <v>3810</v>
      </c>
    </row>
    <row r="56" spans="2:12" x14ac:dyDescent="0.3">
      <c r="B56" t="s">
        <v>37</v>
      </c>
      <c r="C56" s="8">
        <f>IFERROR('Data Sheet'!B65-(SUM('Data Sheet'!B67:B69)),0)</f>
        <v>1536</v>
      </c>
      <c r="D56" s="8">
        <f>IFERROR('Data Sheet'!C65-(SUM('Data Sheet'!C67:C69)),0)</f>
        <v>1810</v>
      </c>
      <c r="E56" s="8">
        <f>IFERROR('Data Sheet'!D65-(SUM('Data Sheet'!D67:D69)),0)</f>
        <v>2692</v>
      </c>
      <c r="F56" s="8">
        <f>IFERROR('Data Sheet'!E65-(SUM('Data Sheet'!E67:E69)),0)</f>
        <v>2645</v>
      </c>
      <c r="G56" s="8">
        <f>IFERROR('Data Sheet'!F65-(SUM('Data Sheet'!F67:F69)),0)</f>
        <v>3793</v>
      </c>
      <c r="H56" s="8">
        <f>IFERROR('Data Sheet'!G65-(SUM('Data Sheet'!G67:G69)),0)</f>
        <v>4035</v>
      </c>
      <c r="I56" s="8">
        <f>IFERROR('Data Sheet'!H65-(SUM('Data Sheet'!H67:H69)),0)</f>
        <v>4021</v>
      </c>
      <c r="J56" s="8">
        <f>IFERROR('Data Sheet'!I65-(SUM('Data Sheet'!I67:I69)),0)</f>
        <v>4377</v>
      </c>
      <c r="K56" s="8">
        <f>IFERROR('Data Sheet'!J65-(SUM('Data Sheet'!J67:J69)),0)</f>
        <v>4517</v>
      </c>
      <c r="L56" s="8">
        <f>IFERROR('Data Sheet'!K65-(SUM('Data Sheet'!K67:K69)),0)</f>
        <v>4921</v>
      </c>
    </row>
    <row r="57" spans="2:12" x14ac:dyDescent="0.3">
      <c r="B57" s="26" t="s">
        <v>107</v>
      </c>
      <c r="C57" s="28">
        <f>IFERROR(SUM(C53:C56),0)</f>
        <v>7794</v>
      </c>
      <c r="D57" s="28">
        <f t="shared" ref="D57:L57" si="18">IFERROR(SUM(D53:D56),0)</f>
        <v>10252</v>
      </c>
      <c r="E57" s="28">
        <f t="shared" si="18"/>
        <v>10554</v>
      </c>
      <c r="F57" s="28">
        <f t="shared" si="18"/>
        <v>10482</v>
      </c>
      <c r="G57" s="28">
        <f t="shared" si="18"/>
        <v>11124</v>
      </c>
      <c r="H57" s="28">
        <f t="shared" si="18"/>
        <v>58932</v>
      </c>
      <c r="I57" s="28">
        <f t="shared" si="18"/>
        <v>60328</v>
      </c>
      <c r="J57" s="28">
        <f t="shared" si="18"/>
        <v>61069</v>
      </c>
      <c r="K57" s="28">
        <f t="shared" si="18"/>
        <v>63911</v>
      </c>
      <c r="L57" s="28">
        <f t="shared" si="18"/>
        <v>64075</v>
      </c>
    </row>
    <row r="58" spans="2:12" x14ac:dyDescent="0.3">
      <c r="B58" s="9"/>
    </row>
    <row r="59" spans="2:12" x14ac:dyDescent="0.3">
      <c r="B59" t="s">
        <v>42</v>
      </c>
      <c r="C59" s="8">
        <f>IFERROR('Data Sheet'!B67,0)</f>
        <v>1264</v>
      </c>
      <c r="D59" s="8">
        <f>IFERROR('Data Sheet'!C67,0)</f>
        <v>1085</v>
      </c>
      <c r="E59" s="8">
        <f>IFERROR('Data Sheet'!D67,0)</f>
        <v>1310</v>
      </c>
      <c r="F59" s="8">
        <f>IFERROR('Data Sheet'!E67,0)</f>
        <v>1816</v>
      </c>
      <c r="G59" s="8">
        <f>IFERROR('Data Sheet'!F67,0)</f>
        <v>1149</v>
      </c>
      <c r="H59" s="8">
        <f>IFERROR('Data Sheet'!G67,0)</f>
        <v>1758</v>
      </c>
      <c r="I59" s="8">
        <f>IFERROR('Data Sheet'!H67,0)</f>
        <v>2236</v>
      </c>
      <c r="J59" s="8">
        <f>IFERROR('Data Sheet'!I67,0)</f>
        <v>3079</v>
      </c>
      <c r="K59" s="8">
        <f>IFERROR('Data Sheet'!J67,0)</f>
        <v>2997</v>
      </c>
      <c r="L59" s="8">
        <f>IFERROR('Data Sheet'!K67,0)</f>
        <v>3819</v>
      </c>
    </row>
    <row r="60" spans="2:12" x14ac:dyDescent="0.3">
      <c r="B60" t="s">
        <v>29</v>
      </c>
      <c r="C60" s="8">
        <f>IFERROR('Data Sheet'!B68,0)</f>
        <v>2726</v>
      </c>
      <c r="D60" s="8">
        <f>IFERROR('Data Sheet'!C68,0)</f>
        <v>2541</v>
      </c>
      <c r="E60" s="8">
        <f>IFERROR('Data Sheet'!D68,0)</f>
        <v>2513</v>
      </c>
      <c r="F60" s="8">
        <f>IFERROR('Data Sheet'!E68,0)</f>
        <v>2574</v>
      </c>
      <c r="G60" s="8">
        <f>IFERROR('Data Sheet'!F68,0)</f>
        <v>2767</v>
      </c>
      <c r="H60" s="8">
        <f>IFERROR('Data Sheet'!G68,0)</f>
        <v>3579</v>
      </c>
      <c r="I60" s="8">
        <f>IFERROR('Data Sheet'!H68,0)</f>
        <v>4096</v>
      </c>
      <c r="J60" s="8">
        <f>IFERROR('Data Sheet'!I68,0)</f>
        <v>4251</v>
      </c>
      <c r="K60" s="8">
        <f>IFERROR('Data Sheet'!J68,0)</f>
        <v>4022</v>
      </c>
      <c r="L60" s="8">
        <f>IFERROR('Data Sheet'!K68,0)</f>
        <v>4415</v>
      </c>
    </row>
    <row r="61" spans="2:12" x14ac:dyDescent="0.3">
      <c r="B61" t="s">
        <v>51</v>
      </c>
      <c r="C61" s="8">
        <f>IFERROR('Data Sheet'!B69,0)</f>
        <v>3009</v>
      </c>
      <c r="D61" s="8">
        <f>IFERROR('Data Sheet'!C69,0)</f>
        <v>1828</v>
      </c>
      <c r="E61" s="8">
        <f>IFERROR('Data Sheet'!D69,0)</f>
        <v>3485</v>
      </c>
      <c r="F61" s="8">
        <f>IFERROR('Data Sheet'!E69,0)</f>
        <v>3757</v>
      </c>
      <c r="G61" s="8">
        <f>IFERROR('Data Sheet'!F69,0)</f>
        <v>5113</v>
      </c>
      <c r="H61" s="8">
        <f>IFERROR('Data Sheet'!G69,0)</f>
        <v>4471</v>
      </c>
      <c r="I61" s="8">
        <f>IFERROR('Data Sheet'!H69,0)</f>
        <v>3846</v>
      </c>
      <c r="J61" s="8">
        <f>IFERROR('Data Sheet'!I69,0)</f>
        <v>4678</v>
      </c>
      <c r="K61" s="8">
        <f>IFERROR('Data Sheet'!J69,0)</f>
        <v>7559</v>
      </c>
      <c r="L61" s="8">
        <f>IFERROR('Data Sheet'!K69,0)</f>
        <v>7554</v>
      </c>
    </row>
    <row r="62" spans="2:12" x14ac:dyDescent="0.3">
      <c r="B62" s="26" t="s">
        <v>108</v>
      </c>
      <c r="C62" s="28">
        <f>IFERROR(SUM(C59:C61),0)</f>
        <v>6999</v>
      </c>
      <c r="D62" s="28">
        <f t="shared" ref="D62:L62" si="19">IFERROR(SUM(D59:D61),0)</f>
        <v>5454</v>
      </c>
      <c r="E62" s="28">
        <f t="shared" si="19"/>
        <v>7308</v>
      </c>
      <c r="F62" s="28">
        <f t="shared" si="19"/>
        <v>8147</v>
      </c>
      <c r="G62" s="28">
        <f t="shared" si="19"/>
        <v>9029</v>
      </c>
      <c r="H62" s="28">
        <f t="shared" si="19"/>
        <v>9808</v>
      </c>
      <c r="I62" s="28">
        <f t="shared" si="19"/>
        <v>10178</v>
      </c>
      <c r="J62" s="28">
        <f t="shared" si="19"/>
        <v>12008</v>
      </c>
      <c r="K62" s="28">
        <f t="shared" si="19"/>
        <v>14578</v>
      </c>
      <c r="L62" s="28">
        <f t="shared" si="19"/>
        <v>15788</v>
      </c>
    </row>
    <row r="64" spans="2:12" x14ac:dyDescent="0.3">
      <c r="B64" s="26" t="s">
        <v>109</v>
      </c>
      <c r="C64" s="28">
        <f>IFERROR(SUM(C57+C62),0)</f>
        <v>14793</v>
      </c>
      <c r="D64" s="28">
        <f t="shared" ref="D64:L64" si="20">IFERROR(SUM(D57+D62),0)</f>
        <v>15706</v>
      </c>
      <c r="E64" s="28">
        <f t="shared" si="20"/>
        <v>17862</v>
      </c>
      <c r="F64" s="28">
        <f t="shared" si="20"/>
        <v>18629</v>
      </c>
      <c r="G64" s="28">
        <f t="shared" si="20"/>
        <v>20153</v>
      </c>
      <c r="H64" s="28">
        <f t="shared" si="20"/>
        <v>68740</v>
      </c>
      <c r="I64" s="28">
        <f t="shared" si="20"/>
        <v>70506</v>
      </c>
      <c r="J64" s="28">
        <f t="shared" si="20"/>
        <v>73077</v>
      </c>
      <c r="K64" s="28">
        <f t="shared" si="20"/>
        <v>78489</v>
      </c>
      <c r="L64" s="28">
        <f t="shared" si="20"/>
        <v>79863</v>
      </c>
    </row>
    <row r="66" spans="1:13" x14ac:dyDescent="0.3">
      <c r="B66" s="24" t="s">
        <v>110</v>
      </c>
      <c r="C66" s="24" t="b">
        <f>C64=C51</f>
        <v>1</v>
      </c>
      <c r="D66" s="24" t="b">
        <f t="shared" ref="D66:L66" si="21">D64=D51</f>
        <v>1</v>
      </c>
      <c r="E66" s="24" t="b">
        <f t="shared" si="21"/>
        <v>1</v>
      </c>
      <c r="F66" s="24" t="b">
        <f t="shared" si="21"/>
        <v>1</v>
      </c>
      <c r="G66" s="24" t="b">
        <f t="shared" si="21"/>
        <v>1</v>
      </c>
      <c r="H66" s="24" t="b">
        <f t="shared" si="21"/>
        <v>1</v>
      </c>
      <c r="I66" s="24" t="b">
        <f t="shared" si="21"/>
        <v>1</v>
      </c>
      <c r="J66" s="24" t="b">
        <f t="shared" si="21"/>
        <v>1</v>
      </c>
      <c r="K66" s="24" t="b">
        <f t="shared" si="21"/>
        <v>1</v>
      </c>
      <c r="L66" s="24" t="b">
        <f t="shared" si="21"/>
        <v>1</v>
      </c>
    </row>
    <row r="68" spans="1:13" x14ac:dyDescent="0.3">
      <c r="A68" s="9" t="s">
        <v>56</v>
      </c>
      <c r="B68" s="21" t="s">
        <v>120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3">
      <c r="B69" s="9" t="s">
        <v>122</v>
      </c>
    </row>
    <row r="70" spans="1:13" x14ac:dyDescent="0.3">
      <c r="B70" t="s">
        <v>60</v>
      </c>
      <c r="C70" s="8">
        <f>IFERROR('Cash Flow Data'!E4,0)</f>
        <v>6025</v>
      </c>
      <c r="D70" s="8">
        <f>IFERROR('Cash Flow Data'!F4,0)</f>
        <v>6512</v>
      </c>
      <c r="E70" s="8">
        <f>IFERROR('Cash Flow Data'!G4,0)</f>
        <v>7485</v>
      </c>
      <c r="F70" s="8">
        <f>IFERROR('Cash Flow Data'!H4,0)</f>
        <v>8909</v>
      </c>
      <c r="G70" s="8">
        <f>IFERROR('Cash Flow Data'!I4,0)</f>
        <v>9723</v>
      </c>
      <c r="H70" s="8">
        <f>IFERROR('Cash Flow Data'!J4,0)</f>
        <v>11672</v>
      </c>
      <c r="I70" s="8">
        <f>IFERROR('Cash Flow Data'!K4,0)</f>
        <v>12829</v>
      </c>
      <c r="J70" s="8">
        <f>IFERROR('Cash Flow Data'!L4,0)</f>
        <v>14089</v>
      </c>
      <c r="K70" s="8">
        <f>IFERROR('Cash Flow Data'!M4,0)</f>
        <v>14537</v>
      </c>
      <c r="L70" s="8">
        <f>IFERROR('Cash Flow Data'!N4,0)</f>
        <v>14942</v>
      </c>
    </row>
    <row r="71" spans="1:13" x14ac:dyDescent="0.3">
      <c r="B71" t="s">
        <v>42</v>
      </c>
      <c r="C71" s="8">
        <f>IFERROR('Cash Flow Data'!E5,0)</f>
        <v>-257</v>
      </c>
      <c r="D71" s="8">
        <f>IFERROR('Cash Flow Data'!F5,0)</f>
        <v>173</v>
      </c>
      <c r="E71" s="8">
        <f>IFERROR('Cash Flow Data'!G5,0)</f>
        <v>0</v>
      </c>
      <c r="F71" s="8">
        <f>IFERROR('Cash Flow Data'!H5,0)</f>
        <v>0</v>
      </c>
      <c r="G71" s="8">
        <f>IFERROR('Cash Flow Data'!I5,0)</f>
        <v>0</v>
      </c>
      <c r="H71" s="8">
        <f>IFERROR('Cash Flow Data'!J5,0)</f>
        <v>0</v>
      </c>
      <c r="I71" s="8">
        <f>IFERROR('Cash Flow Data'!K5,0)</f>
        <v>0</v>
      </c>
      <c r="J71" s="8">
        <f>IFERROR('Cash Flow Data'!L5,0)</f>
        <v>0</v>
      </c>
      <c r="K71" s="8">
        <f>IFERROR('Cash Flow Data'!M5,0)</f>
        <v>0</v>
      </c>
      <c r="L71" s="8">
        <f>IFERROR('Cash Flow Data'!N5,0)</f>
        <v>0</v>
      </c>
    </row>
    <row r="72" spans="1:13" x14ac:dyDescent="0.3">
      <c r="B72" t="s">
        <v>29</v>
      </c>
      <c r="C72" s="8">
        <f>IFERROR('Cash Flow Data'!E6,0)</f>
        <v>89</v>
      </c>
      <c r="D72" s="8">
        <f>IFERROR('Cash Flow Data'!F6,0)</f>
        <v>37</v>
      </c>
      <c r="E72" s="8">
        <f>IFERROR('Cash Flow Data'!G6,0)</f>
        <v>-146</v>
      </c>
      <c r="F72" s="8">
        <f>IFERROR('Cash Flow Data'!H6,0)</f>
        <v>-195</v>
      </c>
      <c r="G72" s="8">
        <f>IFERROR('Cash Flow Data'!I6,0)</f>
        <v>-331</v>
      </c>
      <c r="H72" s="8">
        <f>IFERROR('Cash Flow Data'!J6,0)</f>
        <v>-543</v>
      </c>
      <c r="I72" s="8">
        <f>IFERROR('Cash Flow Data'!K6,0)</f>
        <v>-758</v>
      </c>
      <c r="J72" s="8">
        <f>IFERROR('Cash Flow Data'!L6,0)</f>
        <v>-339</v>
      </c>
      <c r="K72" s="8">
        <f>IFERROR('Cash Flow Data'!M6,0)</f>
        <v>74</v>
      </c>
      <c r="L72" s="8">
        <f>IFERROR('Cash Flow Data'!N6,0)</f>
        <v>-584</v>
      </c>
    </row>
    <row r="73" spans="1:13" x14ac:dyDescent="0.3">
      <c r="B73" t="s">
        <v>61</v>
      </c>
      <c r="C73" s="8">
        <f>IFERROR('Cash Flow Data'!E7,0)</f>
        <v>164</v>
      </c>
      <c r="D73" s="8">
        <f>IFERROR('Cash Flow Data'!F7,0)</f>
        <v>501</v>
      </c>
      <c r="E73" s="8">
        <f>IFERROR('Cash Flow Data'!G7,0)</f>
        <v>0</v>
      </c>
      <c r="F73" s="8">
        <f>IFERROR('Cash Flow Data'!H7,0)</f>
        <v>0</v>
      </c>
      <c r="G73" s="8">
        <f>IFERROR('Cash Flow Data'!I7,0)</f>
        <v>0</v>
      </c>
      <c r="H73" s="8">
        <f>IFERROR('Cash Flow Data'!J7,0)</f>
        <v>0</v>
      </c>
      <c r="I73" s="8">
        <f>IFERROR('Cash Flow Data'!K7,0)</f>
        <v>0</v>
      </c>
      <c r="J73" s="8">
        <f>IFERROR('Cash Flow Data'!L7,0)</f>
        <v>0</v>
      </c>
      <c r="K73" s="8">
        <f>IFERROR('Cash Flow Data'!M7,0)</f>
        <v>0</v>
      </c>
      <c r="L73" s="8">
        <f>IFERROR('Cash Flow Data'!N7,0)</f>
        <v>0</v>
      </c>
    </row>
    <row r="74" spans="1:13" x14ac:dyDescent="0.3">
      <c r="B74" t="s">
        <v>112</v>
      </c>
      <c r="C74" s="8">
        <f>IFERROR('Cash Flow Data'!E8,0)</f>
        <v>0</v>
      </c>
      <c r="D74" s="8">
        <f>IFERROR('Cash Flow Data'!F8,0)</f>
        <v>0</v>
      </c>
      <c r="E74" s="8">
        <f>IFERROR('Cash Flow Data'!G8,0)</f>
        <v>0</v>
      </c>
      <c r="F74" s="8">
        <f>IFERROR('Cash Flow Data'!H8,0)</f>
        <v>0</v>
      </c>
      <c r="G74" s="8">
        <f>IFERROR('Cash Flow Data'!I8,0)</f>
        <v>0</v>
      </c>
      <c r="H74" s="8">
        <f>IFERROR('Cash Flow Data'!J8,0)</f>
        <v>0</v>
      </c>
      <c r="I74" s="8">
        <f>IFERROR('Cash Flow Data'!K8,0)</f>
        <v>0</v>
      </c>
      <c r="J74" s="8">
        <f>IFERROR('Cash Flow Data'!L8,0)</f>
        <v>0</v>
      </c>
      <c r="K74" s="8">
        <f>IFERROR('Cash Flow Data'!M8,0)</f>
        <v>0</v>
      </c>
      <c r="L74" s="8">
        <f>IFERROR('Cash Flow Data'!N8,0)</f>
        <v>0</v>
      </c>
    </row>
    <row r="75" spans="1:13" x14ac:dyDescent="0.3">
      <c r="B75" t="s">
        <v>113</v>
      </c>
      <c r="C75" s="8">
        <f>IFERROR('Cash Flow Data'!E9,0)</f>
        <v>0</v>
      </c>
      <c r="D75" s="8">
        <f>IFERROR('Cash Flow Data'!F9,0)</f>
        <v>-46</v>
      </c>
      <c r="E75" s="8">
        <f>IFERROR('Cash Flow Data'!G9,0)</f>
        <v>0</v>
      </c>
      <c r="F75" s="8">
        <f>IFERROR('Cash Flow Data'!H9,0)</f>
        <v>0</v>
      </c>
      <c r="G75" s="8">
        <f>IFERROR('Cash Flow Data'!I9,0)</f>
        <v>0</v>
      </c>
      <c r="H75" s="8">
        <f>IFERROR('Cash Flow Data'!J9,0)</f>
        <v>0</v>
      </c>
      <c r="I75" s="8">
        <f>IFERROR('Cash Flow Data'!K9,0)</f>
        <v>0</v>
      </c>
      <c r="J75" s="8">
        <f>IFERROR('Cash Flow Data'!L9,0)</f>
        <v>0</v>
      </c>
      <c r="K75" s="8">
        <f>IFERROR('Cash Flow Data'!M9,0)</f>
        <v>0</v>
      </c>
      <c r="L75" s="8">
        <f>IFERROR('Cash Flow Data'!N9,0)</f>
        <v>0</v>
      </c>
    </row>
    <row r="76" spans="1:13" x14ac:dyDescent="0.3">
      <c r="B76" t="s">
        <v>62</v>
      </c>
      <c r="C76" s="8">
        <f>IFERROR('Cash Flow Data'!E10,0)</f>
        <v>-77</v>
      </c>
      <c r="D76" s="8">
        <f>IFERROR('Cash Flow Data'!F10,0)</f>
        <v>-99</v>
      </c>
      <c r="E76" s="8">
        <f>IFERROR('Cash Flow Data'!G10,0)</f>
        <v>982</v>
      </c>
      <c r="F76" s="8">
        <f>IFERROR('Cash Flow Data'!H10,0)</f>
        <v>-147</v>
      </c>
      <c r="G76" s="8">
        <f>IFERROR('Cash Flow Data'!I10,0)</f>
        <v>742</v>
      </c>
      <c r="H76" s="8">
        <f>IFERROR('Cash Flow Data'!J10,0)</f>
        <v>442</v>
      </c>
      <c r="I76" s="8">
        <f>IFERROR('Cash Flow Data'!K10,0)</f>
        <v>-242</v>
      </c>
      <c r="J76" s="8">
        <f>IFERROR('Cash Flow Data'!L10,0)</f>
        <v>-621</v>
      </c>
      <c r="K76" s="8">
        <f>IFERROR('Cash Flow Data'!M10,0)</f>
        <v>1239</v>
      </c>
      <c r="L76" s="8">
        <f>IFERROR('Cash Flow Data'!N10,0)</f>
        <v>-204</v>
      </c>
    </row>
    <row r="77" spans="1:13" x14ac:dyDescent="0.3">
      <c r="B77" t="s">
        <v>63</v>
      </c>
      <c r="C77" s="8">
        <f>IFERROR('Cash Flow Data'!E11,0)</f>
        <v>-81</v>
      </c>
      <c r="D77" s="8">
        <f>IFERROR('Cash Flow Data'!F11,0)</f>
        <v>566</v>
      </c>
      <c r="E77" s="8">
        <f>IFERROR('Cash Flow Data'!G11,0)</f>
        <v>836</v>
      </c>
      <c r="F77" s="8">
        <f>IFERROR('Cash Flow Data'!H11,0)</f>
        <v>-342</v>
      </c>
      <c r="G77" s="8">
        <f>IFERROR('Cash Flow Data'!I11,0)</f>
        <v>411</v>
      </c>
      <c r="H77" s="8">
        <f>IFERROR('Cash Flow Data'!J11,0)</f>
        <v>-101</v>
      </c>
      <c r="I77" s="8">
        <f>IFERROR('Cash Flow Data'!K11,0)</f>
        <v>-1000</v>
      </c>
      <c r="J77" s="8">
        <f>IFERROR('Cash Flow Data'!L11,0)</f>
        <v>-960</v>
      </c>
      <c r="K77" s="8">
        <f>IFERROR('Cash Flow Data'!M11,0)</f>
        <v>1313</v>
      </c>
      <c r="L77" s="8">
        <f>IFERROR('Cash Flow Data'!N11,0)</f>
        <v>-788</v>
      </c>
    </row>
    <row r="78" spans="1:13" x14ac:dyDescent="0.3">
      <c r="B78" t="s">
        <v>64</v>
      </c>
      <c r="C78" s="8">
        <f>IFERROR('Cash Flow Data'!E12,0)</f>
        <v>-1765</v>
      </c>
      <c r="D78" s="8">
        <f>IFERROR('Cash Flow Data'!F12,0)</f>
        <v>-1859</v>
      </c>
      <c r="E78" s="8">
        <f>IFERROR('Cash Flow Data'!G12,0)</f>
        <v>-2264</v>
      </c>
      <c r="F78" s="8">
        <f>IFERROR('Cash Flow Data'!H12,0)</f>
        <v>-2767</v>
      </c>
      <c r="G78" s="8">
        <f>IFERROR('Cash Flow Data'!I12,0)</f>
        <v>-2505</v>
      </c>
      <c r="H78" s="8">
        <f>IFERROR('Cash Flow Data'!J12,0)</f>
        <v>-2407</v>
      </c>
      <c r="I78" s="8">
        <f>IFERROR('Cash Flow Data'!K12,0)</f>
        <v>-2784</v>
      </c>
      <c r="J78" s="8">
        <f>IFERROR('Cash Flow Data'!L12,0)</f>
        <v>-3138</v>
      </c>
      <c r="K78" s="8">
        <f>IFERROR('Cash Flow Data'!M12,0)</f>
        <v>-381</v>
      </c>
      <c r="L78" s="8">
        <f>IFERROR('Cash Flow Data'!N12,0)</f>
        <v>-2268</v>
      </c>
    </row>
    <row r="79" spans="1:13" x14ac:dyDescent="0.3">
      <c r="B79" t="s">
        <v>114</v>
      </c>
      <c r="C79" s="8">
        <f>IFERROR('Cash Flow Data'!E13,0)</f>
        <v>-8</v>
      </c>
      <c r="D79" s="8">
        <f>IFERROR('Cash Flow Data'!F13,0)</f>
        <v>-21</v>
      </c>
      <c r="E79" s="8">
        <f>IFERROR('Cash Flow Data'!G13,0)</f>
        <v>0</v>
      </c>
      <c r="F79" s="8">
        <f>IFERROR('Cash Flow Data'!H13,0)</f>
        <v>0</v>
      </c>
      <c r="G79" s="8">
        <f>IFERROR('Cash Flow Data'!I13,0)</f>
        <v>0</v>
      </c>
      <c r="H79" s="8">
        <f>IFERROR('Cash Flow Data'!J13,0)</f>
        <v>0</v>
      </c>
      <c r="I79" s="8">
        <f>IFERROR('Cash Flow Data'!K13,0)</f>
        <v>0</v>
      </c>
      <c r="J79" s="8">
        <f>IFERROR('Cash Flow Data'!L13,0)</f>
        <v>0</v>
      </c>
      <c r="K79" s="8">
        <f>IFERROR('Cash Flow Data'!M13,0)</f>
        <v>0</v>
      </c>
      <c r="L79" s="8">
        <f>IFERROR('Cash Flow Data'!N13,0)</f>
        <v>0</v>
      </c>
    </row>
    <row r="80" spans="1:13" x14ac:dyDescent="0.3">
      <c r="B80" t="s">
        <v>115</v>
      </c>
      <c r="C80" s="8">
        <f>IFERROR('Cash Flow Data'!E14,0)</f>
        <v>0</v>
      </c>
      <c r="D80" s="8">
        <f>IFERROR('Cash Flow Data'!F14,0)</f>
        <v>-13</v>
      </c>
      <c r="E80" s="8">
        <f>IFERROR('Cash Flow Data'!G14,0)</f>
        <v>2</v>
      </c>
      <c r="F80" s="8">
        <f>IFERROR('Cash Flow Data'!H14,0)</f>
        <v>0</v>
      </c>
      <c r="G80" s="8">
        <f>IFERROR('Cash Flow Data'!I14,0)</f>
        <v>-6</v>
      </c>
      <c r="H80" s="8">
        <f>IFERROR('Cash Flow Data'!J14,0)</f>
        <v>-1</v>
      </c>
      <c r="I80" s="8">
        <f>IFERROR('Cash Flow Data'!K14,0)</f>
        <v>3</v>
      </c>
      <c r="J80" s="8">
        <f>IFERROR('Cash Flow Data'!L14,0)</f>
        <v>0</v>
      </c>
      <c r="K80" s="8">
        <f>IFERROR('Cash Flow Data'!M14,0)</f>
        <v>0</v>
      </c>
      <c r="L80" s="8">
        <f>IFERROR('Cash Flow Data'!N14,0)</f>
        <v>0</v>
      </c>
    </row>
    <row r="81" spans="2:12" x14ac:dyDescent="0.3">
      <c r="B81" s="9" t="s">
        <v>121</v>
      </c>
      <c r="C81" s="23">
        <f>IFERROR(SUM(C70+C77+C78+C79+C80),0)</f>
        <v>4171</v>
      </c>
      <c r="D81" s="23">
        <f t="shared" ref="D81:L81" si="22">IFERROR(SUM(D70+D77+D78+D79+D80),0)</f>
        <v>5185</v>
      </c>
      <c r="E81" s="23">
        <f t="shared" si="22"/>
        <v>6059</v>
      </c>
      <c r="F81" s="23">
        <f t="shared" si="22"/>
        <v>5800</v>
      </c>
      <c r="G81" s="23">
        <f t="shared" si="22"/>
        <v>7623</v>
      </c>
      <c r="H81" s="23">
        <f t="shared" si="22"/>
        <v>9163</v>
      </c>
      <c r="I81" s="23">
        <f t="shared" si="22"/>
        <v>9048</v>
      </c>
      <c r="J81" s="23">
        <f t="shared" si="22"/>
        <v>9991</v>
      </c>
      <c r="K81" s="23">
        <f t="shared" si="22"/>
        <v>15469</v>
      </c>
      <c r="L81" s="23">
        <f t="shared" si="22"/>
        <v>11886</v>
      </c>
    </row>
    <row r="83" spans="2:12" x14ac:dyDescent="0.3">
      <c r="B83" s="9" t="s">
        <v>123</v>
      </c>
    </row>
    <row r="84" spans="2:12" x14ac:dyDescent="0.3">
      <c r="B84" t="s">
        <v>65</v>
      </c>
      <c r="C84" s="8">
        <f>IFERROR('Cash Flow Data'!E16,0)</f>
        <v>-810</v>
      </c>
      <c r="D84" s="8">
        <f>IFERROR('Cash Flow Data'!F16,0)</f>
        <v>-1113</v>
      </c>
      <c r="E84" s="8">
        <f>IFERROR('Cash Flow Data'!G16,0)</f>
        <v>-895</v>
      </c>
      <c r="F84" s="8">
        <f>IFERROR('Cash Flow Data'!H16,0)</f>
        <v>-767</v>
      </c>
      <c r="G84" s="8">
        <f>IFERROR('Cash Flow Data'!I16,0)</f>
        <v>-862</v>
      </c>
      <c r="H84" s="8">
        <f>IFERROR('Cash Flow Data'!J16,0)</f>
        <v>-4163</v>
      </c>
      <c r="I84" s="8">
        <f>IFERROR('Cash Flow Data'!K16,0)</f>
        <v>-1228</v>
      </c>
      <c r="J84" s="8">
        <f>IFERROR('Cash Flow Data'!L16,0)</f>
        <v>-1192</v>
      </c>
      <c r="K84" s="8">
        <f>IFERROR('Cash Flow Data'!M16,0)</f>
        <v>-1477</v>
      </c>
      <c r="L84" s="8">
        <f>IFERROR('Cash Flow Data'!N16,0)</f>
        <v>-1275</v>
      </c>
    </row>
    <row r="85" spans="2:12" x14ac:dyDescent="0.3">
      <c r="B85" t="s">
        <v>66</v>
      </c>
      <c r="C85" s="8">
        <f>IFERROR('Cash Flow Data'!E17,0)</f>
        <v>99</v>
      </c>
      <c r="D85" s="8">
        <f>IFERROR('Cash Flow Data'!F17,0)</f>
        <v>176</v>
      </c>
      <c r="E85" s="8">
        <f>IFERROR('Cash Flow Data'!G17,0)</f>
        <v>32</v>
      </c>
      <c r="F85" s="8">
        <f>IFERROR('Cash Flow Data'!H17,0)</f>
        <v>13</v>
      </c>
      <c r="G85" s="8">
        <f>IFERROR('Cash Flow Data'!I17,0)</f>
        <v>52</v>
      </c>
      <c r="H85" s="8">
        <f>IFERROR('Cash Flow Data'!J17,0)</f>
        <v>97</v>
      </c>
      <c r="I85" s="8">
        <f>IFERROR('Cash Flow Data'!K17,0)</f>
        <v>175</v>
      </c>
      <c r="J85" s="8">
        <f>IFERROR('Cash Flow Data'!L17,0)</f>
        <v>181</v>
      </c>
      <c r="K85" s="8">
        <f>IFERROR('Cash Flow Data'!M17,0)</f>
        <v>20</v>
      </c>
      <c r="L85" s="8">
        <f>IFERROR('Cash Flow Data'!N17,0)</f>
        <v>13</v>
      </c>
    </row>
    <row r="86" spans="2:12" x14ac:dyDescent="0.3">
      <c r="B86" t="s">
        <v>67</v>
      </c>
      <c r="C86" s="8">
        <f>IFERROR('Cash Flow Data'!E18,0)</f>
        <v>-20666</v>
      </c>
      <c r="D86" s="8">
        <f>IFERROR('Cash Flow Data'!F18,0)</f>
        <v>-31214</v>
      </c>
      <c r="E86" s="8">
        <f>IFERROR('Cash Flow Data'!G18,0)</f>
        <v>-51855</v>
      </c>
      <c r="F86" s="8">
        <f>IFERROR('Cash Flow Data'!H18,0)</f>
        <v>-74365</v>
      </c>
      <c r="G86" s="8">
        <f>IFERROR('Cash Flow Data'!I18,0)</f>
        <v>-36090</v>
      </c>
      <c r="H86" s="8">
        <f>IFERROR('Cash Flow Data'!J18,0)</f>
        <v>-39920</v>
      </c>
      <c r="I86" s="8">
        <f>IFERROR('Cash Flow Data'!K18,0)</f>
        <v>-48522</v>
      </c>
      <c r="J86" s="8">
        <f>IFERROR('Cash Flow Data'!L18,0)</f>
        <v>-22649</v>
      </c>
      <c r="K86" s="8">
        <f>IFERROR('Cash Flow Data'!M18,0)</f>
        <v>-21337</v>
      </c>
      <c r="L86" s="8">
        <f>IFERROR('Cash Flow Data'!N18,0)</f>
        <v>-22957</v>
      </c>
    </row>
    <row r="87" spans="2:12" x14ac:dyDescent="0.3">
      <c r="B87" t="s">
        <v>68</v>
      </c>
      <c r="C87" s="8">
        <f>IFERROR('Cash Flow Data'!E19,0)</f>
        <v>20937</v>
      </c>
      <c r="D87" s="8">
        <f>IFERROR('Cash Flow Data'!F19,0)</f>
        <v>30083</v>
      </c>
      <c r="E87" s="8">
        <f>IFERROR('Cash Flow Data'!G19,0)</f>
        <v>52897</v>
      </c>
      <c r="F87" s="8">
        <f>IFERROR('Cash Flow Data'!H19,0)</f>
        <v>74691</v>
      </c>
      <c r="G87" s="8">
        <f>IFERROR('Cash Flow Data'!I19,0)</f>
        <v>37690</v>
      </c>
      <c r="H87" s="8">
        <f>IFERROR('Cash Flow Data'!J19,0)</f>
        <v>38486</v>
      </c>
      <c r="I87" s="8">
        <f>IFERROR('Cash Flow Data'!K19,0)</f>
        <v>47786</v>
      </c>
      <c r="J87" s="8">
        <f>IFERROR('Cash Flow Data'!L19,0)</f>
        <v>23462</v>
      </c>
      <c r="K87" s="8">
        <f>IFERROR('Cash Flow Data'!M19,0)</f>
        <v>19846</v>
      </c>
      <c r="L87" s="8">
        <f>IFERROR('Cash Flow Data'!N19,0)</f>
        <v>23987</v>
      </c>
    </row>
    <row r="88" spans="2:12" x14ac:dyDescent="0.3">
      <c r="B88" t="s">
        <v>69</v>
      </c>
      <c r="C88" s="8">
        <f>IFERROR('Cash Flow Data'!E20,0)</f>
        <v>315</v>
      </c>
      <c r="D88" s="8">
        <f>IFERROR('Cash Flow Data'!F20,0)</f>
        <v>264</v>
      </c>
      <c r="E88" s="8">
        <f>IFERROR('Cash Flow Data'!G20,0)</f>
        <v>297</v>
      </c>
      <c r="F88" s="8">
        <f>IFERROR('Cash Flow Data'!H20,0)</f>
        <v>289</v>
      </c>
      <c r="G88" s="8">
        <f>IFERROR('Cash Flow Data'!I20,0)</f>
        <v>351</v>
      </c>
      <c r="H88" s="8">
        <f>IFERROR('Cash Flow Data'!J20,0)</f>
        <v>277</v>
      </c>
      <c r="I88" s="8">
        <f>IFERROR('Cash Flow Data'!K20,0)</f>
        <v>161</v>
      </c>
      <c r="J88" s="8">
        <f>IFERROR('Cash Flow Data'!L20,0)</f>
        <v>259</v>
      </c>
      <c r="K88" s="8">
        <f>IFERROR('Cash Flow Data'!M20,0)</f>
        <v>425</v>
      </c>
      <c r="L88" s="8">
        <f>IFERROR('Cash Flow Data'!N20,0)</f>
        <v>835</v>
      </c>
    </row>
    <row r="89" spans="2:12" x14ac:dyDescent="0.3">
      <c r="B89" t="s">
        <v>70</v>
      </c>
      <c r="C89" s="8">
        <f>IFERROR('Cash Flow Data'!E21,0)</f>
        <v>33</v>
      </c>
      <c r="D89" s="8">
        <f>IFERROR('Cash Flow Data'!F21,0)</f>
        <v>14</v>
      </c>
      <c r="E89" s="8">
        <f>IFERROR('Cash Flow Data'!G21,0)</f>
        <v>0</v>
      </c>
      <c r="F89" s="8">
        <f>IFERROR('Cash Flow Data'!H21,0)</f>
        <v>1</v>
      </c>
      <c r="G89" s="8">
        <f>IFERROR('Cash Flow Data'!I21,0)</f>
        <v>1</v>
      </c>
      <c r="H89" s="8">
        <f>IFERROR('Cash Flow Data'!J21,0)</f>
        <v>1</v>
      </c>
      <c r="I89" s="8">
        <f>IFERROR('Cash Flow Data'!K21,0)</f>
        <v>1</v>
      </c>
      <c r="J89" s="8">
        <f>IFERROR('Cash Flow Data'!L21,0)</f>
        <v>2</v>
      </c>
      <c r="K89" s="8">
        <f>IFERROR('Cash Flow Data'!M21,0)</f>
        <v>3</v>
      </c>
      <c r="L89" s="8">
        <f>IFERROR('Cash Flow Data'!N21,0)</f>
        <v>0</v>
      </c>
    </row>
    <row r="90" spans="2:12" x14ac:dyDescent="0.3">
      <c r="B90" t="s">
        <v>117</v>
      </c>
      <c r="C90" s="8">
        <f>IFERROR('Cash Flow Data'!E22,0)</f>
        <v>0</v>
      </c>
      <c r="D90" s="8">
        <f>IFERROR('Cash Flow Data'!F22,0)</f>
        <v>0</v>
      </c>
      <c r="E90" s="8">
        <f>IFERROR('Cash Flow Data'!G22,0)</f>
        <v>0</v>
      </c>
      <c r="F90" s="8">
        <f>IFERROR('Cash Flow Data'!H22,0)</f>
        <v>0</v>
      </c>
      <c r="G90" s="8">
        <f>IFERROR('Cash Flow Data'!I22,0)</f>
        <v>0</v>
      </c>
      <c r="H90" s="8">
        <f>IFERROR('Cash Flow Data'!J22,0)</f>
        <v>0</v>
      </c>
      <c r="I90" s="8">
        <f>IFERROR('Cash Flow Data'!K22,0)</f>
        <v>0</v>
      </c>
      <c r="J90" s="8">
        <f>IFERROR('Cash Flow Data'!L22,0)</f>
        <v>0</v>
      </c>
      <c r="K90" s="8">
        <f>IFERROR('Cash Flow Data'!M22,0)</f>
        <v>0</v>
      </c>
      <c r="L90" s="8">
        <f>IFERROR('Cash Flow Data'!N22,0)</f>
        <v>0</v>
      </c>
    </row>
    <row r="91" spans="2:12" x14ac:dyDescent="0.3">
      <c r="B91" t="s">
        <v>118</v>
      </c>
      <c r="C91" s="8">
        <f>IFERROR('Cash Flow Data'!E23,0)</f>
        <v>0</v>
      </c>
      <c r="D91" s="8">
        <f>IFERROR('Cash Flow Data'!F23,0)</f>
        <v>0</v>
      </c>
      <c r="E91" s="8">
        <f>IFERROR('Cash Flow Data'!G23,0)</f>
        <v>0</v>
      </c>
      <c r="F91" s="8">
        <f>IFERROR('Cash Flow Data'!H23,0)</f>
        <v>0</v>
      </c>
      <c r="G91" s="8">
        <f>IFERROR('Cash Flow Data'!I23,0)</f>
        <v>0</v>
      </c>
      <c r="H91" s="8">
        <f>IFERROR('Cash Flow Data'!J23,0)</f>
        <v>0</v>
      </c>
      <c r="I91" s="8">
        <f>IFERROR('Cash Flow Data'!K23,0)</f>
        <v>0</v>
      </c>
      <c r="J91" s="8">
        <f>IFERROR('Cash Flow Data'!L23,0)</f>
        <v>0</v>
      </c>
      <c r="K91" s="8">
        <f>IFERROR('Cash Flow Data'!M23,0)</f>
        <v>0</v>
      </c>
      <c r="L91" s="8">
        <f>IFERROR('Cash Flow Data'!N23,0)</f>
        <v>0</v>
      </c>
    </row>
    <row r="92" spans="2:12" x14ac:dyDescent="0.3">
      <c r="B92" t="s">
        <v>71</v>
      </c>
      <c r="C92" s="8">
        <f>IFERROR('Cash Flow Data'!E24,0)</f>
        <v>161</v>
      </c>
      <c r="D92" s="8">
        <f>IFERROR('Cash Flow Data'!F24,0)</f>
        <v>20</v>
      </c>
      <c r="E92" s="8">
        <f>IFERROR('Cash Flow Data'!G24,0)</f>
        <v>73</v>
      </c>
      <c r="F92" s="8">
        <f>IFERROR('Cash Flow Data'!H24,0)</f>
        <v>0</v>
      </c>
      <c r="G92" s="8">
        <f>IFERROR('Cash Flow Data'!I24,0)</f>
        <v>0</v>
      </c>
      <c r="H92" s="8">
        <f>IFERROR('Cash Flow Data'!J24,0)</f>
        <v>0</v>
      </c>
      <c r="I92" s="8">
        <f>IFERROR('Cash Flow Data'!K24,0)</f>
        <v>0</v>
      </c>
      <c r="J92" s="8">
        <f>IFERROR('Cash Flow Data'!L24,0)</f>
        <v>0</v>
      </c>
      <c r="K92" s="8">
        <f>IFERROR('Cash Flow Data'!M24,0)</f>
        <v>0</v>
      </c>
      <c r="L92" s="8">
        <f>IFERROR('Cash Flow Data'!N24,0)</f>
        <v>0</v>
      </c>
    </row>
    <row r="93" spans="2:12" x14ac:dyDescent="0.3">
      <c r="B93" t="s">
        <v>72</v>
      </c>
      <c r="C93" s="8">
        <f>IFERROR('Cash Flow Data'!E25,0)</f>
        <v>0</v>
      </c>
      <c r="D93" s="8">
        <f>IFERROR('Cash Flow Data'!F25,0)</f>
        <v>0</v>
      </c>
      <c r="E93" s="8">
        <f>IFERROR('Cash Flow Data'!G25,0)</f>
        <v>0</v>
      </c>
      <c r="F93" s="8">
        <f>IFERROR('Cash Flow Data'!H25,0)</f>
        <v>0</v>
      </c>
      <c r="G93" s="8">
        <f>IFERROR('Cash Flow Data'!I25,0)</f>
        <v>0</v>
      </c>
      <c r="H93" s="8">
        <f>IFERROR('Cash Flow Data'!J25,0)</f>
        <v>0</v>
      </c>
      <c r="I93" s="8">
        <f>IFERROR('Cash Flow Data'!K25,0)</f>
        <v>0</v>
      </c>
      <c r="J93" s="8">
        <f>IFERROR('Cash Flow Data'!L25,0)</f>
        <v>-334</v>
      </c>
      <c r="K93" s="8">
        <f>IFERROR('Cash Flow Data'!M25,0)</f>
        <v>0</v>
      </c>
      <c r="L93" s="8">
        <f>IFERROR('Cash Flow Data'!N25,0)</f>
        <v>0</v>
      </c>
    </row>
    <row r="94" spans="2:12" x14ac:dyDescent="0.3">
      <c r="B94" t="s">
        <v>73</v>
      </c>
      <c r="C94" s="8">
        <f>IFERROR('Cash Flow Data'!E26,0)</f>
        <v>-351</v>
      </c>
      <c r="D94" s="8">
        <f>IFERROR('Cash Flow Data'!F26,0)</f>
        <v>597</v>
      </c>
      <c r="E94" s="8">
        <f>IFERROR('Cash Flow Data'!G26,0)</f>
        <v>-1612</v>
      </c>
      <c r="F94" s="8">
        <f>IFERROR('Cash Flow Data'!H26,0)</f>
        <v>-300</v>
      </c>
      <c r="G94" s="8">
        <f>IFERROR('Cash Flow Data'!I26,0)</f>
        <v>649</v>
      </c>
      <c r="H94" s="8">
        <f>IFERROR('Cash Flow Data'!J26,0)</f>
        <v>3994</v>
      </c>
      <c r="I94" s="8">
        <f>IFERROR('Cash Flow Data'!K26,0)</f>
        <v>-101</v>
      </c>
      <c r="J94" s="8">
        <f>IFERROR('Cash Flow Data'!L26,0)</f>
        <v>-1213</v>
      </c>
      <c r="K94" s="8">
        <f>IFERROR('Cash Flow Data'!M26,0)</f>
        <v>-2804</v>
      </c>
      <c r="L94" s="8">
        <f>IFERROR('Cash Flow Data'!N26,0)</f>
        <v>5870</v>
      </c>
    </row>
    <row r="95" spans="2:12" x14ac:dyDescent="0.3">
      <c r="B95" s="9" t="s">
        <v>124</v>
      </c>
      <c r="C95" s="23">
        <f>IFERROR(SUM(C84:C94),0)</f>
        <v>-282</v>
      </c>
      <c r="D95" s="23">
        <f t="shared" ref="D95:L95" si="23">IFERROR(SUM(D84:D94),0)</f>
        <v>-1173</v>
      </c>
      <c r="E95" s="23">
        <f t="shared" si="23"/>
        <v>-1063</v>
      </c>
      <c r="F95" s="23">
        <f t="shared" si="23"/>
        <v>-438</v>
      </c>
      <c r="G95" s="23">
        <f t="shared" si="23"/>
        <v>1791</v>
      </c>
      <c r="H95" s="23">
        <f t="shared" si="23"/>
        <v>-1228</v>
      </c>
      <c r="I95" s="23">
        <f t="shared" si="23"/>
        <v>-1728</v>
      </c>
      <c r="J95" s="23">
        <f t="shared" si="23"/>
        <v>-1484</v>
      </c>
      <c r="K95" s="23">
        <f t="shared" si="23"/>
        <v>-5324</v>
      </c>
      <c r="L95" s="23">
        <f t="shared" si="23"/>
        <v>6473</v>
      </c>
    </row>
    <row r="97" spans="2:12" x14ac:dyDescent="0.3">
      <c r="B97" s="9" t="s">
        <v>125</v>
      </c>
    </row>
    <row r="98" spans="2:12" x14ac:dyDescent="0.3">
      <c r="B98" t="s">
        <v>74</v>
      </c>
      <c r="C98" s="8">
        <f>IFERROR('Cash Flow Data'!E28,0)</f>
        <v>0</v>
      </c>
      <c r="D98" s="8">
        <f>IFERROR('Cash Flow Data'!F28,0)</f>
        <v>0</v>
      </c>
      <c r="E98" s="8">
        <f>IFERROR('Cash Flow Data'!G28,0)</f>
        <v>0</v>
      </c>
      <c r="F98" s="8">
        <f>IFERROR('Cash Flow Data'!H28,0)</f>
        <v>0</v>
      </c>
      <c r="G98" s="8">
        <f>IFERROR('Cash Flow Data'!I28,0)</f>
        <v>0</v>
      </c>
      <c r="H98" s="8">
        <f>IFERROR('Cash Flow Data'!J28,0)</f>
        <v>0</v>
      </c>
      <c r="I98" s="8">
        <f>IFERROR('Cash Flow Data'!K28,0)</f>
        <v>0</v>
      </c>
      <c r="J98" s="8">
        <f>IFERROR('Cash Flow Data'!L28,0)</f>
        <v>0</v>
      </c>
      <c r="K98" s="8">
        <f>IFERROR('Cash Flow Data'!M28,0)</f>
        <v>0</v>
      </c>
      <c r="L98" s="8">
        <f>IFERROR('Cash Flow Data'!N28,0)</f>
        <v>0</v>
      </c>
    </row>
    <row r="99" spans="2:12" x14ac:dyDescent="0.3">
      <c r="B99" t="s">
        <v>75</v>
      </c>
      <c r="C99" s="8">
        <f>IFERROR('Cash Flow Data'!E29,0)</f>
        <v>177</v>
      </c>
      <c r="D99" s="8">
        <f>IFERROR('Cash Flow Data'!F29,0)</f>
        <v>460</v>
      </c>
      <c r="E99" s="8">
        <f>IFERROR('Cash Flow Data'!G29,0)</f>
        <v>0</v>
      </c>
      <c r="F99" s="8">
        <f>IFERROR('Cash Flow Data'!H29,0)</f>
        <v>99</v>
      </c>
      <c r="G99" s="8">
        <f>IFERROR('Cash Flow Data'!I29,0)</f>
        <v>0</v>
      </c>
      <c r="H99" s="8">
        <f>IFERROR('Cash Flow Data'!J29,0)</f>
        <v>188</v>
      </c>
      <c r="I99" s="8">
        <f>IFERROR('Cash Flow Data'!K29,0)</f>
        <v>55</v>
      </c>
      <c r="J99" s="8">
        <f>IFERROR('Cash Flow Data'!L29,0)</f>
        <v>286</v>
      </c>
      <c r="K99" s="8">
        <f>IFERROR('Cash Flow Data'!M29,0)</f>
        <v>0</v>
      </c>
      <c r="L99" s="8">
        <f>IFERROR('Cash Flow Data'!N29,0)</f>
        <v>0</v>
      </c>
    </row>
    <row r="100" spans="2:12" x14ac:dyDescent="0.3">
      <c r="B100" t="s">
        <v>76</v>
      </c>
      <c r="C100" s="8">
        <f>IFERROR('Cash Flow Data'!E30,0)</f>
        <v>0</v>
      </c>
      <c r="D100" s="8">
        <f>IFERROR('Cash Flow Data'!F30,0)</f>
        <v>-360</v>
      </c>
      <c r="E100" s="8">
        <f>IFERROR('Cash Flow Data'!G30,0)</f>
        <v>-277</v>
      </c>
      <c r="F100" s="8">
        <f>IFERROR('Cash Flow Data'!H30,0)</f>
        <v>0</v>
      </c>
      <c r="G100" s="8">
        <f>IFERROR('Cash Flow Data'!I30,0)</f>
        <v>-99</v>
      </c>
      <c r="H100" s="8">
        <f>IFERROR('Cash Flow Data'!J30,0)</f>
        <v>-188</v>
      </c>
      <c r="I100" s="8">
        <f>IFERROR('Cash Flow Data'!K30,0)</f>
        <v>-55</v>
      </c>
      <c r="J100" s="8">
        <f>IFERROR('Cash Flow Data'!L30,0)</f>
        <v>-208</v>
      </c>
      <c r="K100" s="8">
        <f>IFERROR('Cash Flow Data'!M30,0)</f>
        <v>-85</v>
      </c>
      <c r="L100" s="8">
        <f>IFERROR('Cash Flow Data'!N30,0)</f>
        <v>0</v>
      </c>
    </row>
    <row r="101" spans="2:12" x14ac:dyDescent="0.3">
      <c r="B101" t="s">
        <v>77</v>
      </c>
      <c r="C101" s="8">
        <f>IFERROR('Cash Flow Data'!E31,0)</f>
        <v>-2</v>
      </c>
      <c r="D101" s="8">
        <f>IFERROR('Cash Flow Data'!F31,0)</f>
        <v>-14</v>
      </c>
      <c r="E101" s="8">
        <f>IFERROR('Cash Flow Data'!G31,0)</f>
        <v>-6</v>
      </c>
      <c r="F101" s="8">
        <f>IFERROR('Cash Flow Data'!H31,0)</f>
        <v>-7</v>
      </c>
      <c r="G101" s="8">
        <f>IFERROR('Cash Flow Data'!I31,0)</f>
        <v>-90</v>
      </c>
      <c r="H101" s="8">
        <f>IFERROR('Cash Flow Data'!J31,0)</f>
        <v>-92</v>
      </c>
      <c r="I101" s="8">
        <f>IFERROR('Cash Flow Data'!K31,0)</f>
        <v>-82</v>
      </c>
      <c r="J101" s="8">
        <f>IFERROR('Cash Flow Data'!L31,0)</f>
        <v>-88</v>
      </c>
      <c r="K101" s="8">
        <f>IFERROR('Cash Flow Data'!M31,0)</f>
        <v>-110</v>
      </c>
      <c r="L101" s="8">
        <f>IFERROR('Cash Flow Data'!N31,0)</f>
        <v>-130</v>
      </c>
    </row>
    <row r="102" spans="2:12" x14ac:dyDescent="0.3">
      <c r="B102" t="s">
        <v>78</v>
      </c>
      <c r="C102" s="8">
        <f>IFERROR('Cash Flow Data'!E32,0)</f>
        <v>-3354</v>
      </c>
      <c r="D102" s="8">
        <f>IFERROR('Cash Flow Data'!F32,0)</f>
        <v>-3572</v>
      </c>
      <c r="E102" s="8">
        <f>IFERROR('Cash Flow Data'!G32,0)</f>
        <v>-3911</v>
      </c>
      <c r="F102" s="8">
        <f>IFERROR('Cash Flow Data'!H32,0)</f>
        <v>-4554</v>
      </c>
      <c r="G102" s="8">
        <f>IFERROR('Cash Flow Data'!I32,0)</f>
        <v>-5196</v>
      </c>
      <c r="H102" s="8">
        <f>IFERROR('Cash Flow Data'!J32,0)</f>
        <v>-8811</v>
      </c>
      <c r="I102" s="8">
        <f>IFERROR('Cash Flow Data'!K32,0)</f>
        <v>-7526</v>
      </c>
      <c r="J102" s="8">
        <f>IFERROR('Cash Flow Data'!L32,0)</f>
        <v>-8474</v>
      </c>
      <c r="K102" s="8">
        <f>IFERROR('Cash Flow Data'!M32,0)</f>
        <v>-9416</v>
      </c>
      <c r="L102" s="8">
        <f>IFERROR('Cash Flow Data'!N32,0)</f>
        <v>-12473</v>
      </c>
    </row>
    <row r="103" spans="2:12" x14ac:dyDescent="0.3">
      <c r="B103" t="s">
        <v>79</v>
      </c>
      <c r="C103" s="8">
        <f>IFERROR('Cash Flow Data'!E33,0)</f>
        <v>0</v>
      </c>
      <c r="D103" s="8">
        <f>IFERROR('Cash Flow Data'!F33,0)</f>
        <v>0</v>
      </c>
      <c r="E103" s="8">
        <f>IFERROR('Cash Flow Data'!G33,0)</f>
        <v>0</v>
      </c>
      <c r="F103" s="8">
        <f>IFERROR('Cash Flow Data'!H33,0)</f>
        <v>0</v>
      </c>
      <c r="G103" s="8">
        <f>IFERROR('Cash Flow Data'!I33,0)</f>
        <v>-373</v>
      </c>
      <c r="H103" s="8">
        <f>IFERROR('Cash Flow Data'!J33,0)</f>
        <v>-406</v>
      </c>
      <c r="I103" s="8">
        <f>IFERROR('Cash Flow Data'!K33,0)</f>
        <v>-407</v>
      </c>
      <c r="J103" s="8">
        <f>IFERROR('Cash Flow Data'!L33,0)</f>
        <v>-467</v>
      </c>
      <c r="K103" s="8">
        <f>IFERROR('Cash Flow Data'!M33,0)</f>
        <v>-423</v>
      </c>
      <c r="L103" s="8">
        <f>IFERROR('Cash Flow Data'!N33,0)</f>
        <v>-498</v>
      </c>
    </row>
    <row r="104" spans="2:12" x14ac:dyDescent="0.3">
      <c r="B104" t="s">
        <v>80</v>
      </c>
      <c r="C104" s="8">
        <f>IFERROR('Cash Flow Data'!E34,0)</f>
        <v>-685</v>
      </c>
      <c r="D104" s="8">
        <f>IFERROR('Cash Flow Data'!F34,0)</f>
        <v>-728</v>
      </c>
      <c r="E104" s="8">
        <f>IFERROR('Cash Flow Data'!G34,0)</f>
        <v>-781</v>
      </c>
      <c r="F104" s="8">
        <f>IFERROR('Cash Flow Data'!H34,0)</f>
        <v>-928</v>
      </c>
      <c r="G104" s="8">
        <f>IFERROR('Cash Flow Data'!I34,0)</f>
        <v>-1061</v>
      </c>
      <c r="H104" s="8">
        <f>IFERROR('Cash Flow Data'!J34,0)</f>
        <v>0</v>
      </c>
      <c r="I104" s="8">
        <f>IFERROR('Cash Flow Data'!K34,0)</f>
        <v>0</v>
      </c>
      <c r="J104" s="8">
        <f>IFERROR('Cash Flow Data'!L34,0)</f>
        <v>-2</v>
      </c>
      <c r="K104" s="8">
        <f>IFERROR('Cash Flow Data'!M34,0)</f>
        <v>0</v>
      </c>
      <c r="L104" s="8">
        <f>IFERROR('Cash Flow Data'!N34,0)</f>
        <v>0</v>
      </c>
    </row>
    <row r="105" spans="2:12" x14ac:dyDescent="0.3">
      <c r="B105" s="9" t="s">
        <v>126</v>
      </c>
      <c r="C105" s="23">
        <f>IFERROR(SUM(C98:C104),0)</f>
        <v>-3864</v>
      </c>
      <c r="D105" s="23">
        <f t="shared" ref="D105:L105" si="24">IFERROR(SUM(D98:D104),0)</f>
        <v>-4214</v>
      </c>
      <c r="E105" s="23">
        <f t="shared" si="24"/>
        <v>-4975</v>
      </c>
      <c r="F105" s="23">
        <f t="shared" si="24"/>
        <v>-5390</v>
      </c>
      <c r="G105" s="23">
        <f t="shared" si="24"/>
        <v>-6819</v>
      </c>
      <c r="H105" s="23">
        <f t="shared" si="24"/>
        <v>-9309</v>
      </c>
      <c r="I105" s="23">
        <f t="shared" si="24"/>
        <v>-8015</v>
      </c>
      <c r="J105" s="23">
        <f t="shared" si="24"/>
        <v>-8953</v>
      </c>
      <c r="K105" s="23">
        <f t="shared" si="24"/>
        <v>-10034</v>
      </c>
      <c r="L105" s="23">
        <f t="shared" si="24"/>
        <v>-13101</v>
      </c>
    </row>
    <row r="107" spans="2:12" x14ac:dyDescent="0.3">
      <c r="B107" s="9" t="s">
        <v>20</v>
      </c>
      <c r="C107" s="23">
        <f>IFERROR(SUM(C81+C95+C105),0)</f>
        <v>25</v>
      </c>
      <c r="D107" s="23">
        <f t="shared" ref="D107:L107" si="25">IFERROR(SUM(D81+D95+D105),0)</f>
        <v>-202</v>
      </c>
      <c r="E107" s="23">
        <f t="shared" si="25"/>
        <v>21</v>
      </c>
      <c r="F107" s="23">
        <f t="shared" si="25"/>
        <v>-28</v>
      </c>
      <c r="G107" s="23">
        <f t="shared" si="25"/>
        <v>2595</v>
      </c>
      <c r="H107" s="23">
        <f t="shared" si="25"/>
        <v>-1374</v>
      </c>
      <c r="I107" s="23">
        <f t="shared" si="25"/>
        <v>-695</v>
      </c>
      <c r="J107" s="23">
        <f t="shared" si="25"/>
        <v>-446</v>
      </c>
      <c r="K107" s="23">
        <f t="shared" si="25"/>
        <v>111</v>
      </c>
      <c r="L107" s="23">
        <f t="shared" si="25"/>
        <v>5258</v>
      </c>
    </row>
  </sheetData>
  <mergeCells count="1">
    <mergeCell ref="B2:M2"/>
  </mergeCells>
  <pageMargins left="0.7" right="0.7" top="0.75" bottom="0.75" header="0.3" footer="0.3"/>
  <ignoredErrors>
    <ignoredError sqref="M9 C15:M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0CF8-E76F-450A-8862-02A46E2FA4AB}">
  <dimension ref="B2:U20"/>
  <sheetViews>
    <sheetView showGridLines="0" tabSelected="1" workbookViewId="0">
      <selection activeCell="D19" sqref="D19"/>
    </sheetView>
  </sheetViews>
  <sheetFormatPr defaultRowHeight="14.4" x14ac:dyDescent="0.3"/>
  <cols>
    <col min="1" max="1" width="1.88671875" customWidth="1"/>
    <col min="2" max="2" width="11.33203125" bestFit="1" customWidth="1"/>
    <col min="3" max="3" width="10.33203125" bestFit="1" customWidth="1"/>
    <col min="4" max="4" width="12.6640625" customWidth="1"/>
    <col min="5" max="5" width="11.6640625" bestFit="1" customWidth="1"/>
    <col min="6" max="6" width="2.77734375" customWidth="1"/>
    <col min="7" max="7" width="11.5546875" bestFit="1" customWidth="1"/>
    <col min="8" max="8" width="6.109375" bestFit="1" customWidth="1"/>
    <col min="9" max="9" width="11.44140625" customWidth="1"/>
    <col min="10" max="10" width="14" customWidth="1"/>
    <col min="11" max="11" width="2.77734375" customWidth="1"/>
    <col min="12" max="12" width="17.44140625" customWidth="1"/>
    <col min="13" max="13" width="10.44140625" customWidth="1"/>
    <col min="14" max="14" width="10.77734375" customWidth="1"/>
    <col min="15" max="15" width="16.77734375" customWidth="1"/>
  </cols>
  <sheetData>
    <row r="2" spans="2:21" x14ac:dyDescent="0.3">
      <c r="B2" s="71" t="str">
        <f>'Data Sheet'!$B$1&amp;" - "&amp;'Data Sheet'!A17&amp;" Forecasting"</f>
        <v>HINDUSTAN UNILEVER LTD - Sales Forecasting</v>
      </c>
      <c r="C2" s="71"/>
      <c r="D2" s="71"/>
      <c r="E2" s="71"/>
      <c r="G2" s="71" t="str">
        <f>'Data Sheet'!$B$1&amp;" - "&amp;HistoricalFS!B18&amp;" Forecasting"</f>
        <v>HINDUSTAN UNILEVER LTD - EBITDA Forecasting</v>
      </c>
      <c r="H2" s="71"/>
      <c r="I2" s="71"/>
      <c r="J2" s="71"/>
      <c r="L2" s="71" t="str">
        <f>'Data Sheet'!$B$1&amp;" - "&amp;HistoricalFS!B38&amp;" Forecasting"</f>
        <v>HINDUSTAN UNILEVER LTD - Earnings per Share Forecasting</v>
      </c>
      <c r="M2" s="71"/>
      <c r="N2" s="71"/>
      <c r="O2" s="71"/>
    </row>
    <row r="3" spans="2:21" x14ac:dyDescent="0.3">
      <c r="B3" s="62" t="s">
        <v>160</v>
      </c>
      <c r="C3" s="61" t="s">
        <v>161</v>
      </c>
      <c r="D3" s="61" t="s">
        <v>57</v>
      </c>
      <c r="E3" s="61" t="s">
        <v>162</v>
      </c>
      <c r="F3" s="51"/>
      <c r="G3" s="62" t="s">
        <v>160</v>
      </c>
      <c r="H3" s="61" t="s">
        <v>161</v>
      </c>
      <c r="I3" s="61" t="s">
        <v>59</v>
      </c>
      <c r="J3" s="61" t="s">
        <v>128</v>
      </c>
      <c r="K3" s="52"/>
      <c r="L3" s="62" t="s">
        <v>160</v>
      </c>
      <c r="M3" s="61" t="s">
        <v>161</v>
      </c>
      <c r="N3" s="61" t="s">
        <v>163</v>
      </c>
      <c r="O3" s="61" t="s">
        <v>164</v>
      </c>
      <c r="P3" s="52"/>
      <c r="Q3" s="52"/>
      <c r="R3" s="52"/>
      <c r="S3" s="52"/>
      <c r="T3" s="52"/>
      <c r="U3" s="53"/>
    </row>
    <row r="4" spans="2:21" x14ac:dyDescent="0.3">
      <c r="B4" s="51">
        <v>1</v>
      </c>
      <c r="C4" s="56">
        <f>'Data Sheet'!$B$16</f>
        <v>42460</v>
      </c>
      <c r="D4" s="57">
        <f t="array" ref="D4:D13">TRANSPOSE('Data Sheet'!B17:K17)</f>
        <v>32186</v>
      </c>
      <c r="G4" s="51">
        <v>1</v>
      </c>
      <c r="H4" s="56">
        <f>'Data Sheet'!$B$16</f>
        <v>42460</v>
      </c>
      <c r="I4" s="57">
        <f t="array" ref="I4:I13">TRANSPOSE('Data Sheet'!B33:K33)</f>
        <v>6396</v>
      </c>
      <c r="K4" s="25"/>
      <c r="L4" s="51">
        <v>1</v>
      </c>
      <c r="M4" s="56">
        <f>'Data Sheet'!$B$16</f>
        <v>42460</v>
      </c>
      <c r="N4" s="57">
        <f t="array" ref="N4:N13">TRANSPOSE(HistoricalFS!C38:L38)</f>
        <v>16.937011876704101</v>
      </c>
      <c r="P4" s="25"/>
      <c r="Q4" s="25"/>
      <c r="R4" s="25"/>
      <c r="S4" s="25"/>
      <c r="T4" s="25"/>
      <c r="U4" s="25"/>
    </row>
    <row r="5" spans="2:21" x14ac:dyDescent="0.3">
      <c r="B5" s="51">
        <f>B4+1</f>
        <v>2</v>
      </c>
      <c r="C5" s="56">
        <f>C4+365</f>
        <v>42825</v>
      </c>
      <c r="D5" s="57">
        <v>33162</v>
      </c>
      <c r="E5" s="10">
        <f>D5/D4-1</f>
        <v>3.03237432424035E-2</v>
      </c>
      <c r="G5" s="51">
        <f>G4+1</f>
        <v>2</v>
      </c>
      <c r="H5" s="56">
        <f>H4+365</f>
        <v>42825</v>
      </c>
      <c r="I5" s="57">
        <v>6920</v>
      </c>
      <c r="J5" s="10">
        <f>I5/I4-1</f>
        <v>8.1926203877423331E-2</v>
      </c>
      <c r="L5" s="51">
        <f>L4+1</f>
        <v>2</v>
      </c>
      <c r="M5" s="56">
        <f>M4+365</f>
        <v>42825</v>
      </c>
      <c r="N5" s="57">
        <v>17.945756133622879</v>
      </c>
      <c r="O5" s="10">
        <f>N5/N4-1</f>
        <v>5.9558572920778818E-2</v>
      </c>
    </row>
    <row r="6" spans="2:21" x14ac:dyDescent="0.3">
      <c r="B6" s="51">
        <f t="shared" ref="B6:B18" si="0">B5+1</f>
        <v>3</v>
      </c>
      <c r="C6" s="56">
        <f t="shared" ref="C6:C18" si="1">C5+365</f>
        <v>43190</v>
      </c>
      <c r="D6" s="57">
        <v>35545</v>
      </c>
      <c r="E6" s="10">
        <f t="shared" ref="E6:E18" si="2">D6/D5-1</f>
        <v>7.1859357095470644E-2</v>
      </c>
      <c r="G6" s="51">
        <f t="shared" ref="G6:G18" si="3">G5+1</f>
        <v>3</v>
      </c>
      <c r="H6" s="56">
        <f t="shared" ref="H6:H18" si="4">H5+365</f>
        <v>43190</v>
      </c>
      <c r="I6" s="57">
        <v>7839</v>
      </c>
      <c r="J6" s="10">
        <f t="shared" ref="J6:J18" si="5">I6/I5-1</f>
        <v>0.13280346820809252</v>
      </c>
      <c r="L6" s="51">
        <f t="shared" ref="L6:L18" si="6">L5+1</f>
        <v>3</v>
      </c>
      <c r="M6" s="56">
        <f t="shared" ref="M6:M18" si="7">M5+365</f>
        <v>43190</v>
      </c>
      <c r="N6" s="57">
        <v>22.51790251790252</v>
      </c>
      <c r="O6" s="10">
        <f t="shared" ref="O6:O18" si="8">N6/N5-1</f>
        <v>0.25477591193348159</v>
      </c>
    </row>
    <row r="7" spans="2:21" x14ac:dyDescent="0.3">
      <c r="B7" s="51">
        <f t="shared" si="0"/>
        <v>4</v>
      </c>
      <c r="C7" s="56">
        <f t="shared" si="1"/>
        <v>43555</v>
      </c>
      <c r="D7" s="57">
        <v>39310</v>
      </c>
      <c r="E7" s="10">
        <f t="shared" si="2"/>
        <v>0.1059220706147137</v>
      </c>
      <c r="G7" s="51">
        <f t="shared" si="3"/>
        <v>4</v>
      </c>
      <c r="H7" s="56">
        <f t="shared" si="4"/>
        <v>43555</v>
      </c>
      <c r="I7" s="57">
        <v>9196</v>
      </c>
      <c r="J7" s="10">
        <f t="shared" si="5"/>
        <v>0.17310881489985963</v>
      </c>
      <c r="L7" s="51">
        <f t="shared" si="6"/>
        <v>4</v>
      </c>
      <c r="M7" s="56">
        <f t="shared" si="7"/>
        <v>43555</v>
      </c>
      <c r="N7" s="57">
        <v>26.507137247655564</v>
      </c>
      <c r="O7" s="10">
        <f t="shared" si="8"/>
        <v>0.17715836217789205</v>
      </c>
    </row>
    <row r="8" spans="2:21" x14ac:dyDescent="0.3">
      <c r="B8" s="51">
        <f t="shared" si="0"/>
        <v>5</v>
      </c>
      <c r="C8" s="56">
        <f t="shared" si="1"/>
        <v>43920</v>
      </c>
      <c r="D8" s="57">
        <v>39783</v>
      </c>
      <c r="E8" s="10">
        <f t="shared" si="2"/>
        <v>1.2032561689137689E-2</v>
      </c>
      <c r="G8" s="51">
        <f t="shared" si="3"/>
        <v>5</v>
      </c>
      <c r="H8" s="56">
        <f t="shared" si="4"/>
        <v>43920</v>
      </c>
      <c r="I8" s="57">
        <v>10277</v>
      </c>
      <c r="J8" s="10">
        <f t="shared" si="5"/>
        <v>0.11755110917790335</v>
      </c>
      <c r="L8" s="51">
        <f t="shared" si="6"/>
        <v>5</v>
      </c>
      <c r="M8" s="56">
        <f t="shared" si="7"/>
        <v>43920</v>
      </c>
      <c r="N8" s="57">
        <v>29.249815225424982</v>
      </c>
      <c r="O8" s="10">
        <f t="shared" si="8"/>
        <v>0.10346941475213423</v>
      </c>
    </row>
    <row r="9" spans="2:21" x14ac:dyDescent="0.3">
      <c r="B9" s="51">
        <f t="shared" si="0"/>
        <v>6</v>
      </c>
      <c r="C9" s="56">
        <f t="shared" si="1"/>
        <v>44285</v>
      </c>
      <c r="D9" s="57">
        <v>47028</v>
      </c>
      <c r="E9" s="10">
        <f t="shared" si="2"/>
        <v>0.18211296282331646</v>
      </c>
      <c r="G9" s="51">
        <f t="shared" si="3"/>
        <v>6</v>
      </c>
      <c r="H9" s="56">
        <f t="shared" si="4"/>
        <v>44285</v>
      </c>
      <c r="I9" s="57">
        <v>11792</v>
      </c>
      <c r="J9" s="10">
        <f t="shared" si="5"/>
        <v>0.14741656125328406</v>
      </c>
      <c r="L9" s="51">
        <f t="shared" si="6"/>
        <v>6</v>
      </c>
      <c r="M9" s="56">
        <f t="shared" si="7"/>
        <v>44285</v>
      </c>
      <c r="N9" s="57">
        <v>33.320565202587673</v>
      </c>
      <c r="O9" s="10">
        <f t="shared" si="8"/>
        <v>0.1391718185496178</v>
      </c>
    </row>
    <row r="10" spans="2:21" x14ac:dyDescent="0.3">
      <c r="B10" s="51">
        <f t="shared" si="0"/>
        <v>7</v>
      </c>
      <c r="C10" s="56">
        <f t="shared" si="1"/>
        <v>44650</v>
      </c>
      <c r="D10" s="57">
        <v>52446</v>
      </c>
      <c r="E10" s="10">
        <f t="shared" si="2"/>
        <v>0.11520796121459553</v>
      </c>
      <c r="G10" s="51">
        <f t="shared" si="3"/>
        <v>7</v>
      </c>
      <c r="H10" s="56">
        <f t="shared" si="4"/>
        <v>44650</v>
      </c>
      <c r="I10" s="57">
        <v>13063</v>
      </c>
      <c r="J10" s="10">
        <f t="shared" si="5"/>
        <v>0.10778493894165542</v>
      </c>
      <c r="L10" s="51">
        <f t="shared" si="6"/>
        <v>7</v>
      </c>
      <c r="M10" s="56">
        <f t="shared" si="7"/>
        <v>44650</v>
      </c>
      <c r="N10" s="57">
        <v>36.912665985699689</v>
      </c>
      <c r="O10" s="10">
        <f t="shared" si="8"/>
        <v>0.10780431728190054</v>
      </c>
    </row>
    <row r="11" spans="2:21" x14ac:dyDescent="0.3">
      <c r="B11" s="51">
        <f t="shared" si="0"/>
        <v>8</v>
      </c>
      <c r="C11" s="56">
        <f t="shared" si="1"/>
        <v>45015</v>
      </c>
      <c r="D11" s="57">
        <v>60580</v>
      </c>
      <c r="E11" s="10">
        <f t="shared" si="2"/>
        <v>0.15509285741524614</v>
      </c>
      <c r="G11" s="51">
        <f t="shared" si="3"/>
        <v>8</v>
      </c>
      <c r="H11" s="56">
        <f t="shared" si="4"/>
        <v>45015</v>
      </c>
      <c r="I11" s="57">
        <v>14572</v>
      </c>
      <c r="J11" s="10">
        <f t="shared" si="5"/>
        <v>0.11551710939294191</v>
      </c>
      <c r="L11" s="51">
        <f t="shared" si="6"/>
        <v>8</v>
      </c>
      <c r="M11" s="56">
        <f t="shared" si="7"/>
        <v>45015</v>
      </c>
      <c r="N11" s="57">
        <v>41.262342526387471</v>
      </c>
      <c r="O11" s="10">
        <f t="shared" si="8"/>
        <v>0.11783696529459253</v>
      </c>
    </row>
    <row r="12" spans="2:21" x14ac:dyDescent="0.3">
      <c r="B12" s="51">
        <f t="shared" si="0"/>
        <v>9</v>
      </c>
      <c r="C12" s="56">
        <f t="shared" si="1"/>
        <v>45380</v>
      </c>
      <c r="D12" s="57">
        <v>61896</v>
      </c>
      <c r="E12" s="10">
        <f t="shared" si="2"/>
        <v>2.1723341036645749E-2</v>
      </c>
      <c r="G12" s="51">
        <f t="shared" si="3"/>
        <v>9</v>
      </c>
      <c r="H12" s="56">
        <f t="shared" si="4"/>
        <v>45380</v>
      </c>
      <c r="I12" s="57">
        <v>15471</v>
      </c>
      <c r="J12" s="10">
        <f t="shared" si="5"/>
        <v>6.1693659072193263E-2</v>
      </c>
      <c r="L12" s="51">
        <f t="shared" si="6"/>
        <v>9</v>
      </c>
      <c r="M12" s="56">
        <f t="shared" si="7"/>
        <v>45380</v>
      </c>
      <c r="N12" s="57">
        <v>40.283452502553622</v>
      </c>
      <c r="O12" s="10">
        <f t="shared" si="8"/>
        <v>-2.3723568849922771E-2</v>
      </c>
    </row>
    <row r="13" spans="2:21" x14ac:dyDescent="0.3">
      <c r="B13" s="51">
        <f t="shared" si="0"/>
        <v>10</v>
      </c>
      <c r="C13" s="56">
        <f t="shared" si="1"/>
        <v>45745</v>
      </c>
      <c r="D13" s="57">
        <v>63121</v>
      </c>
      <c r="E13" s="10">
        <f t="shared" si="2"/>
        <v>1.9791262763344974E-2</v>
      </c>
      <c r="G13" s="51">
        <f t="shared" si="3"/>
        <v>10</v>
      </c>
      <c r="H13" s="56">
        <f t="shared" si="4"/>
        <v>45745</v>
      </c>
      <c r="I13" s="57">
        <v>16143</v>
      </c>
      <c r="J13" s="10">
        <f t="shared" si="5"/>
        <v>4.3436106263331498E-2</v>
      </c>
      <c r="L13" s="51">
        <f t="shared" si="6"/>
        <v>10</v>
      </c>
      <c r="M13" s="56">
        <f t="shared" si="7"/>
        <v>45745</v>
      </c>
      <c r="N13" s="57">
        <v>39.789751447054819</v>
      </c>
      <c r="O13" s="10">
        <f t="shared" si="8"/>
        <v>-1.2255678816692983E-2</v>
      </c>
    </row>
    <row r="14" spans="2:21" x14ac:dyDescent="0.3">
      <c r="B14" s="58">
        <f t="shared" si="0"/>
        <v>11</v>
      </c>
      <c r="C14" s="59">
        <f t="shared" si="1"/>
        <v>46110</v>
      </c>
      <c r="D14" s="74">
        <f>FORECAST(B14,$D$4:$D$13,$B$4:$B$13)</f>
        <v>68218.399999999994</v>
      </c>
      <c r="E14" s="60">
        <f t="shared" si="2"/>
        <v>8.0756008301515969E-2</v>
      </c>
      <c r="G14" s="58">
        <f t="shared" si="3"/>
        <v>11</v>
      </c>
      <c r="H14" s="59">
        <f t="shared" si="4"/>
        <v>46110</v>
      </c>
      <c r="I14" s="74">
        <f>FORECAST(G14,$I$4:$I$13,$G$4:$G$13)</f>
        <v>17645.599999999999</v>
      </c>
      <c r="J14" s="60">
        <f t="shared" si="5"/>
        <v>9.3080592207148483E-2</v>
      </c>
      <c r="L14" s="58">
        <f t="shared" si="6"/>
        <v>11</v>
      </c>
      <c r="M14" s="59">
        <f t="shared" si="7"/>
        <v>46110</v>
      </c>
      <c r="N14" s="74">
        <f>FORECAST(L14,$N$4:$N$13,$L$4:$L$13)</f>
        <v>46.840908964872376</v>
      </c>
      <c r="O14" s="60">
        <f t="shared" si="8"/>
        <v>0.17721039366631874</v>
      </c>
    </row>
    <row r="15" spans="2:21" x14ac:dyDescent="0.3">
      <c r="B15" s="58">
        <f t="shared" si="0"/>
        <v>12</v>
      </c>
      <c r="C15" s="59">
        <f t="shared" si="1"/>
        <v>46475</v>
      </c>
      <c r="D15" s="74">
        <f t="shared" ref="D15:D18" si="9">FORECAST(B15,$D$4:$D$13,$B$4:$B$13)</f>
        <v>72166.163636363635</v>
      </c>
      <c r="E15" s="60">
        <f t="shared" si="2"/>
        <v>5.7869484425955964E-2</v>
      </c>
      <c r="G15" s="58">
        <f t="shared" si="3"/>
        <v>12</v>
      </c>
      <c r="H15" s="59">
        <f t="shared" si="4"/>
        <v>46475</v>
      </c>
      <c r="I15" s="74">
        <f t="shared" ref="I15:I18" si="10">FORECAST(G15,$I$4:$I$13,$G$4:$G$13)</f>
        <v>18823.545454545456</v>
      </c>
      <c r="J15" s="60">
        <f t="shared" si="5"/>
        <v>6.6755760900476968E-2</v>
      </c>
      <c r="L15" s="58">
        <f t="shared" si="6"/>
        <v>12</v>
      </c>
      <c r="M15" s="59">
        <f t="shared" si="7"/>
        <v>46475</v>
      </c>
      <c r="N15" s="74">
        <f t="shared" ref="N15:N18" si="11">FORECAST(L15,$N$4:$N$13,$L$4:$L$13)</f>
        <v>49.816957855474747</v>
      </c>
      <c r="O15" s="60">
        <f t="shared" si="8"/>
        <v>6.3535250625349926E-2</v>
      </c>
    </row>
    <row r="16" spans="2:21" x14ac:dyDescent="0.3">
      <c r="B16" s="58">
        <f t="shared" si="0"/>
        <v>13</v>
      </c>
      <c r="C16" s="59">
        <f t="shared" si="1"/>
        <v>46840</v>
      </c>
      <c r="D16" s="74">
        <f t="shared" si="9"/>
        <v>76113.927272727276</v>
      </c>
      <c r="E16" s="60">
        <f t="shared" si="2"/>
        <v>5.4703803520108618E-2</v>
      </c>
      <c r="G16" s="58">
        <f t="shared" si="3"/>
        <v>13</v>
      </c>
      <c r="H16" s="59">
        <f t="shared" si="4"/>
        <v>46840</v>
      </c>
      <c r="I16" s="74">
        <f t="shared" si="10"/>
        <v>20001.490909090906</v>
      </c>
      <c r="J16" s="60">
        <f t="shared" si="5"/>
        <v>6.2578298938949617E-2</v>
      </c>
      <c r="L16" s="58">
        <f t="shared" si="6"/>
        <v>13</v>
      </c>
      <c r="M16" s="59">
        <f t="shared" si="7"/>
        <v>46840</v>
      </c>
      <c r="N16" s="74">
        <f t="shared" si="11"/>
        <v>52.793006746077118</v>
      </c>
      <c r="O16" s="60">
        <f t="shared" si="8"/>
        <v>5.9739675377935786E-2</v>
      </c>
    </row>
    <row r="17" spans="2:15" x14ac:dyDescent="0.3">
      <c r="B17" s="58">
        <f t="shared" si="0"/>
        <v>14</v>
      </c>
      <c r="C17" s="59">
        <f t="shared" si="1"/>
        <v>47205</v>
      </c>
      <c r="D17" s="74">
        <f t="shared" si="9"/>
        <v>80061.690909090903</v>
      </c>
      <c r="E17" s="60">
        <f t="shared" si="2"/>
        <v>5.1866508243862075E-2</v>
      </c>
      <c r="G17" s="58">
        <f t="shared" si="3"/>
        <v>14</v>
      </c>
      <c r="H17" s="59">
        <f t="shared" si="4"/>
        <v>47205</v>
      </c>
      <c r="I17" s="74">
        <f t="shared" si="10"/>
        <v>21179.436363636363</v>
      </c>
      <c r="J17" s="60">
        <f t="shared" si="5"/>
        <v>5.889288253057523E-2</v>
      </c>
      <c r="L17" s="58">
        <f t="shared" si="6"/>
        <v>14</v>
      </c>
      <c r="M17" s="59">
        <f t="shared" si="7"/>
        <v>47205</v>
      </c>
      <c r="N17" s="74">
        <f t="shared" si="11"/>
        <v>55.769055636679497</v>
      </c>
      <c r="O17" s="60">
        <f t="shared" si="8"/>
        <v>5.6372028683960407E-2</v>
      </c>
    </row>
    <row r="18" spans="2:15" x14ac:dyDescent="0.3">
      <c r="B18" s="58">
        <f t="shared" si="0"/>
        <v>15</v>
      </c>
      <c r="C18" s="59">
        <f t="shared" si="1"/>
        <v>47570</v>
      </c>
      <c r="D18" s="74">
        <f t="shared" si="9"/>
        <v>84009.454545454544</v>
      </c>
      <c r="E18" s="60">
        <f t="shared" si="2"/>
        <v>4.930902147503069E-2</v>
      </c>
      <c r="G18" s="58">
        <f t="shared" si="3"/>
        <v>15</v>
      </c>
      <c r="H18" s="59">
        <f t="shared" si="4"/>
        <v>47570</v>
      </c>
      <c r="I18" s="74">
        <f t="shared" si="10"/>
        <v>22357.381818181821</v>
      </c>
      <c r="J18" s="60">
        <f t="shared" si="5"/>
        <v>5.5617412773453667E-2</v>
      </c>
      <c r="L18" s="58">
        <f t="shared" si="6"/>
        <v>15</v>
      </c>
      <c r="M18" s="59">
        <f t="shared" si="7"/>
        <v>47570</v>
      </c>
      <c r="N18" s="74">
        <f t="shared" si="11"/>
        <v>58.745104527281867</v>
      </c>
      <c r="O18" s="60">
        <f t="shared" si="8"/>
        <v>5.3363802858533926E-2</v>
      </c>
    </row>
    <row r="19" spans="2:15" x14ac:dyDescent="0.3">
      <c r="B19" s="51"/>
      <c r="C19" s="55"/>
      <c r="D19" s="54"/>
      <c r="E19" s="10"/>
    </row>
    <row r="20" spans="2:15" x14ac:dyDescent="0.3">
      <c r="B20" s="51"/>
      <c r="C20" s="55"/>
      <c r="D20" s="54"/>
      <c r="E20" s="10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CBBB-D489-4BC4-94FF-6033A1AED6E1}">
  <dimension ref="B2:O40"/>
  <sheetViews>
    <sheetView showGridLines="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R12" sqref="R12"/>
    </sheetView>
  </sheetViews>
  <sheetFormatPr defaultRowHeight="14.4" x14ac:dyDescent="0.3"/>
  <cols>
    <col min="1" max="1" width="1.88671875" customWidth="1"/>
    <col min="2" max="2" width="26" customWidth="1"/>
    <col min="13" max="13" width="13.33203125" style="29" customWidth="1"/>
    <col min="14" max="14" width="9" bestFit="1" customWidth="1"/>
    <col min="15" max="15" width="8" bestFit="1" customWidth="1"/>
  </cols>
  <sheetData>
    <row r="2" spans="2:15" x14ac:dyDescent="0.3">
      <c r="B2" s="70" t="str">
        <f>"Ratio Analysis - "&amp;'Data Sheet'!B1</f>
        <v>Ratio Analysis - HINDUSTAN UNILEVER LTD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2:15" x14ac:dyDescent="0.3"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50" t="s">
        <v>159</v>
      </c>
      <c r="N3" s="13" t="s">
        <v>157</v>
      </c>
      <c r="O3" s="13" t="s">
        <v>158</v>
      </c>
    </row>
    <row r="5" spans="2:15" x14ac:dyDescent="0.3">
      <c r="B5" s="31" t="s">
        <v>127</v>
      </c>
      <c r="C5" s="32"/>
      <c r="D5" s="32">
        <f>HistoricalFS!D7</f>
        <v>3.03237432424035E-2</v>
      </c>
      <c r="E5" s="32">
        <f>HistoricalFS!E7</f>
        <v>7.1859357095470644E-2</v>
      </c>
      <c r="F5" s="32">
        <f>HistoricalFS!F7</f>
        <v>0.1059220706147137</v>
      </c>
      <c r="G5" s="32">
        <f>HistoricalFS!G7</f>
        <v>1.2032561689137689E-2</v>
      </c>
      <c r="H5" s="32">
        <f>HistoricalFS!H7</f>
        <v>0.18211296282331646</v>
      </c>
      <c r="I5" s="32">
        <f>HistoricalFS!I7</f>
        <v>0.11520796121459553</v>
      </c>
      <c r="J5" s="32">
        <f>HistoricalFS!J7</f>
        <v>0.15509285741524614</v>
      </c>
      <c r="K5" s="32">
        <f>HistoricalFS!K7</f>
        <v>2.1723341036645749E-2</v>
      </c>
      <c r="L5" s="32">
        <f>HistoricalFS!L7</f>
        <v>1.9791262763344974E-2</v>
      </c>
      <c r="M5" s="48"/>
      <c r="N5" s="40">
        <f>IFERROR(AVERAGE(D5:L5),0)</f>
        <v>7.9340679766097155E-2</v>
      </c>
      <c r="O5" s="40">
        <f>IFERROR(MEDIAN(C5:L5),0)</f>
        <v>7.1859357095470644E-2</v>
      </c>
    </row>
    <row r="6" spans="2:15" x14ac:dyDescent="0.3">
      <c r="B6" t="s">
        <v>128</v>
      </c>
      <c r="C6" s="8"/>
      <c r="D6" s="33">
        <f>IFERROR(HistoricalFS!D18/HistoricalFS!C18-1,0)</f>
        <v>7.0727580372250465E-2</v>
      </c>
      <c r="E6" s="33">
        <f>IFERROR(HistoricalFS!E18/HistoricalFS!D18-1,0)</f>
        <v>0.1850505689001265</v>
      </c>
      <c r="F6" s="33">
        <f>IFERROR(HistoricalFS!F18/HistoricalFS!E18-1,0)</f>
        <v>0.1841578877183625</v>
      </c>
      <c r="G6" s="33">
        <f>IFERROR(HistoricalFS!G18/HistoricalFS!F18-1,0)</f>
        <v>0.11047297297297298</v>
      </c>
      <c r="H6" s="33">
        <f>IFERROR(HistoricalFS!H18/HistoricalFS!G18-1,0)</f>
        <v>0.1789879322583916</v>
      </c>
      <c r="I6" s="33">
        <f>IFERROR(HistoricalFS!I18/HistoricalFS!H18-1,0)</f>
        <v>0.10588336487183891</v>
      </c>
      <c r="J6" s="33">
        <f>IFERROR(HistoricalFS!J18/HistoricalFS!I18-1,0)</f>
        <v>0.10033444816053505</v>
      </c>
      <c r="K6" s="33">
        <f>IFERROR(HistoricalFS!K18/HistoricalFS!J18-1,0)</f>
        <v>3.6191418675337594E-2</v>
      </c>
      <c r="L6" s="33">
        <f>IFERROR(HistoricalFS!L18/HistoricalFS!K18-1,0)</f>
        <v>1.255201582645471E-2</v>
      </c>
      <c r="N6" s="41">
        <f t="shared" ref="N6:N9" si="0">IFERROR(AVERAGE(D6:L6),0)</f>
        <v>0.10937313219514115</v>
      </c>
      <c r="O6" s="41">
        <f>IFERROR(MEDIAN(C6:L6),0)</f>
        <v>0.10588336487183891</v>
      </c>
    </row>
    <row r="7" spans="2:15" x14ac:dyDescent="0.3">
      <c r="B7" t="s">
        <v>129</v>
      </c>
      <c r="C7" s="8"/>
      <c r="D7" s="33">
        <f>IFERROR(HistoricalFS!D27/HistoricalFS!C27-1,0)</f>
        <v>5.794223826714795E-2</v>
      </c>
      <c r="E7" s="33">
        <f>IFERROR(HistoricalFS!E27/HistoricalFS!D27-1,0)</f>
        <v>0.18631632827162603</v>
      </c>
      <c r="F7" s="33">
        <f>IFERROR(HistoricalFS!F27/HistoricalFS!E27-1,0)</f>
        <v>0.19114051488566086</v>
      </c>
      <c r="G7" s="33">
        <f>IFERROR(HistoricalFS!G27/HistoricalFS!F27-1,0)</f>
        <v>5.5421395798116446E-2</v>
      </c>
      <c r="H7" s="33">
        <f>IFERROR(HistoricalFS!H27/HistoricalFS!G27-1,0)</f>
        <v>0.19379933646035918</v>
      </c>
      <c r="I7" s="33">
        <f>IFERROR(HistoricalFS!I27/HistoricalFS!H27-1,0)</f>
        <v>0.11739338763775753</v>
      </c>
      <c r="J7" s="33">
        <f>IFERROR(HistoricalFS!J27/HistoricalFS!I27-1,0)</f>
        <v>0.10600343053173233</v>
      </c>
      <c r="K7" s="33">
        <f>IFERROR(HistoricalFS!K27/HistoricalFS!J27-1,0)</f>
        <v>1.6516749379652529E-2</v>
      </c>
      <c r="L7" s="33">
        <f>IFERROR(HistoricalFS!L27/HistoricalFS!K27-1,0)</f>
        <v>-1.2205355099550452E-3</v>
      </c>
      <c r="N7" s="41">
        <f t="shared" si="0"/>
        <v>0.10259031619134421</v>
      </c>
      <c r="O7" s="41">
        <f>IFERROR(MEDIAN(C7:L7),0)</f>
        <v>0.10600343053173233</v>
      </c>
    </row>
    <row r="8" spans="2:15" x14ac:dyDescent="0.3">
      <c r="B8" t="s">
        <v>130</v>
      </c>
      <c r="C8" s="8"/>
      <c r="D8" s="33">
        <f>IFERROR(HistoricalFS!D33/HistoricalFS!C33-1,0)</f>
        <v>5.9754433833560716E-2</v>
      </c>
      <c r="E8" s="33">
        <f>IFERROR(HistoricalFS!E33/HistoricalFS!D33-1,0)</f>
        <v>0.2548918640576725</v>
      </c>
      <c r="F8" s="33">
        <f>IFERROR(HistoricalFS!F33/HistoricalFS!E33-1,0)</f>
        <v>0.17726713171932706</v>
      </c>
      <c r="G8" s="33">
        <f>IFERROR(HistoricalFS!G33/HistoricalFS!F33-1,0)</f>
        <v>0.10352039037992333</v>
      </c>
      <c r="H8" s="33">
        <f>IFERROR(HistoricalFS!H33/HistoricalFS!G33-1,0)</f>
        <v>0.23641819330385339</v>
      </c>
      <c r="I8" s="33">
        <f>IFERROR(HistoricalFS!I33/HistoricalFS!H33-1,0)</f>
        <v>0.10780431728190054</v>
      </c>
      <c r="J8" s="33">
        <f>IFERROR(HistoricalFS!J33/HistoricalFS!I33-1,0)</f>
        <v>0.11783696529459231</v>
      </c>
      <c r="K8" s="33">
        <f>IFERROR(HistoricalFS!K33/HistoricalFS!J33-1,0)</f>
        <v>-2.372356884992266E-2</v>
      </c>
      <c r="L8" s="33">
        <f>IFERROR(HistoricalFS!L33/HistoricalFS!K33-1,0)</f>
        <v>-1.2255678816693094E-2</v>
      </c>
      <c r="N8" s="41">
        <f t="shared" si="0"/>
        <v>0.11350156091157936</v>
      </c>
      <c r="O8" s="41">
        <f t="shared" ref="O8:O40" si="1">IFERROR(MEDIAN(C8:L8),0)</f>
        <v>0.10780431728190054</v>
      </c>
    </row>
    <row r="9" spans="2:15" x14ac:dyDescent="0.3">
      <c r="B9" s="34" t="s">
        <v>131</v>
      </c>
      <c r="C9" s="35"/>
      <c r="D9" s="36">
        <f>IFERROR(HistoricalFS!D41/HistoricalFS!C41-1,0)</f>
        <v>6.2303631659196945E-2</v>
      </c>
      <c r="E9" s="36">
        <f>IFERROR(HistoricalFS!E41/HistoricalFS!D41-1,0)</f>
        <v>0.17636188224423521</v>
      </c>
      <c r="F9" s="36">
        <f>IFERROR(HistoricalFS!F41/HistoricalFS!E41-1,0)</f>
        <v>9.989836928904694E-2</v>
      </c>
      <c r="G9" s="36">
        <f>IFERROR(HistoricalFS!G41/HistoricalFS!F41-1,0)</f>
        <v>0.13631114358664265</v>
      </c>
      <c r="H9" s="36">
        <f>IFERROR(HistoricalFS!H41/HistoricalFS!G41-1,0)</f>
        <v>0.62387640449438186</v>
      </c>
      <c r="I9" s="36">
        <f>IFERROR(HistoricalFS!I41/HistoricalFS!H41-1,0)</f>
        <v>-0.16049382716049365</v>
      </c>
      <c r="J9" s="36">
        <f>IFERROR(HistoricalFS!J41/HistoricalFS!I41-1,0)</f>
        <v>0.14705882352941169</v>
      </c>
      <c r="K9" s="36">
        <f>IFERROR(HistoricalFS!K41/HistoricalFS!J41-1,0)</f>
        <v>7.6923076923076872E-2</v>
      </c>
      <c r="L9" s="36">
        <f>IFERROR(HistoricalFS!L41/HistoricalFS!K41-1,0)</f>
        <v>0.26190476190476186</v>
      </c>
      <c r="M9" s="49"/>
      <c r="N9" s="47">
        <f t="shared" si="0"/>
        <v>0.15823825183002893</v>
      </c>
      <c r="O9" s="47">
        <f t="shared" si="1"/>
        <v>0.13631114358664265</v>
      </c>
    </row>
    <row r="11" spans="2:15" x14ac:dyDescent="0.3">
      <c r="B11" s="31" t="s">
        <v>132</v>
      </c>
      <c r="C11" s="37">
        <f>HistoricalFS!C13</f>
        <v>0.43385322811160132</v>
      </c>
      <c r="D11" s="37">
        <f>HistoricalFS!D13</f>
        <v>0.43685543694590195</v>
      </c>
      <c r="E11" s="37">
        <f>HistoricalFS!E13</f>
        <v>0.45663243775495849</v>
      </c>
      <c r="F11" s="37">
        <f>HistoricalFS!F13</f>
        <v>0.46372424319511574</v>
      </c>
      <c r="G11" s="37">
        <f>HistoricalFS!G13</f>
        <v>0.48183897644722617</v>
      </c>
      <c r="H11" s="37">
        <f>HistoricalFS!H13</f>
        <v>0.46200136089138388</v>
      </c>
      <c r="I11" s="37">
        <f>HistoricalFS!I13</f>
        <v>0.44579186210578498</v>
      </c>
      <c r="J11" s="37">
        <f>HistoricalFS!J13</f>
        <v>0.41596236381644108</v>
      </c>
      <c r="K11" s="37">
        <f>HistoricalFS!K13</f>
        <v>0.45632997285769678</v>
      </c>
      <c r="L11" s="37">
        <f>HistoricalFS!L13</f>
        <v>0.45297127738787407</v>
      </c>
      <c r="M11" s="48"/>
      <c r="N11" s="40">
        <f>IFERROR(AVERAGE(C11:L11),0)</f>
        <v>0.45059611595139842</v>
      </c>
      <c r="O11" s="40">
        <f t="shared" si="1"/>
        <v>0.45465062512278542</v>
      </c>
    </row>
    <row r="12" spans="2:15" x14ac:dyDescent="0.3">
      <c r="B12" t="s">
        <v>133</v>
      </c>
      <c r="C12" s="38">
        <f>HistoricalFS!C19</f>
        <v>0.18362020754365252</v>
      </c>
      <c r="D12" s="38">
        <f>HistoricalFS!D19</f>
        <v>0.1908208190097099</v>
      </c>
      <c r="E12" s="38">
        <f>HistoricalFS!E19</f>
        <v>0.21097200731467156</v>
      </c>
      <c r="F12" s="38">
        <f>HistoricalFS!F19</f>
        <v>0.2258967183922666</v>
      </c>
      <c r="G12" s="38">
        <f>HistoricalFS!G19</f>
        <v>0.24786969308498605</v>
      </c>
      <c r="H12" s="38">
        <f>HistoricalFS!H19</f>
        <v>0.24721442544866887</v>
      </c>
      <c r="I12" s="38">
        <f>HistoricalFS!I19</f>
        <v>0.24514738969606834</v>
      </c>
      <c r="J12" s="38">
        <f>HistoricalFS!J19</f>
        <v>0.23352591614394189</v>
      </c>
      <c r="K12" s="38">
        <f>HistoricalFS!K19</f>
        <v>0.23683275171255008</v>
      </c>
      <c r="L12" s="38">
        <f>HistoricalFS!L19</f>
        <v>0.23515153435465216</v>
      </c>
      <c r="N12" s="41">
        <f t="shared" ref="N12:N40" si="2">IFERROR(AVERAGE(C12:L12),0)</f>
        <v>0.22570514627011679</v>
      </c>
      <c r="O12" s="41">
        <f t="shared" si="1"/>
        <v>0.23433872524929703</v>
      </c>
    </row>
    <row r="13" spans="2:15" x14ac:dyDescent="0.3">
      <c r="B13" t="s">
        <v>134</v>
      </c>
      <c r="C13" s="38">
        <f>IFERROR((HistoricalFS!C18-HistoricalFS!C24)/HistoricalFS!C6,0)</f>
        <v>0.17265270614552911</v>
      </c>
      <c r="D13" s="38">
        <f>IFERROR((HistoricalFS!D18-HistoricalFS!D24)/HistoricalFS!D6,0)</f>
        <v>0.17779386044267534</v>
      </c>
      <c r="E13" s="38">
        <f>IFERROR((HistoricalFS!E18-HistoricalFS!E24)/HistoricalFS!E6,0)</f>
        <v>0.19634266422844282</v>
      </c>
      <c r="F13" s="38">
        <f>IFERROR((HistoricalFS!F18-HistoricalFS!F24)/HistoricalFS!F6,0)</f>
        <v>0.21152378529636226</v>
      </c>
      <c r="G13" s="38">
        <f>IFERROR((HistoricalFS!G18-HistoricalFS!G24)/HistoricalFS!G6,0)</f>
        <v>0.22268305557650253</v>
      </c>
      <c r="H13" s="38">
        <f>IFERROR((HistoricalFS!H18-HistoricalFS!H24)/HistoricalFS!H6,0)</f>
        <v>0.22437696691332823</v>
      </c>
      <c r="I13" s="38">
        <f>IFERROR((HistoricalFS!I18-HistoricalFS!I24)/HistoricalFS!I6,0)</f>
        <v>0.22434504061320215</v>
      </c>
      <c r="J13" s="38">
        <f>IFERROR((HistoricalFS!J18-HistoricalFS!J24)/HistoricalFS!J6,0)</f>
        <v>0.21475734565863322</v>
      </c>
      <c r="K13" s="38">
        <f>IFERROR((HistoricalFS!K18-HistoricalFS!K24)/HistoricalFS!K6,0)</f>
        <v>0.21718689414501746</v>
      </c>
      <c r="L13" s="38">
        <f>IFERROR((HistoricalFS!L18-HistoricalFS!L24)/HistoricalFS!L6,0)</f>
        <v>0.21368482755342913</v>
      </c>
      <c r="N13" s="41">
        <f t="shared" si="2"/>
        <v>0.20753471465731224</v>
      </c>
      <c r="O13" s="41">
        <f t="shared" si="1"/>
        <v>0.21422108660603117</v>
      </c>
    </row>
    <row r="14" spans="2:15" x14ac:dyDescent="0.3">
      <c r="B14" t="s">
        <v>135</v>
      </c>
      <c r="C14" s="38">
        <f>HistoricalFS!C28</f>
        <v>0.17212452619151183</v>
      </c>
      <c r="D14" s="38">
        <f>HistoricalFS!D28</f>
        <v>0.17673843555877208</v>
      </c>
      <c r="E14" s="38">
        <f>HistoricalFS!E28</f>
        <v>0.19561119707413138</v>
      </c>
      <c r="F14" s="38">
        <f>HistoricalFS!F28</f>
        <v>0.21068430424828288</v>
      </c>
      <c r="G14" s="38">
        <f>HistoricalFS!G28</f>
        <v>0.21971696453258929</v>
      </c>
      <c r="H14" s="38">
        <f>HistoricalFS!H28</f>
        <v>0.22188908735221571</v>
      </c>
      <c r="I14" s="38">
        <f>HistoricalFS!I28</f>
        <v>0.22232391412119132</v>
      </c>
      <c r="J14" s="38">
        <f>HistoricalFS!J28</f>
        <v>0.21287553648068669</v>
      </c>
      <c r="K14" s="38">
        <f>HistoricalFS!K28</f>
        <v>0.2117907457670932</v>
      </c>
      <c r="L14" s="38">
        <f>HistoricalFS!L28</f>
        <v>0.20742700527558183</v>
      </c>
      <c r="N14" s="41">
        <f t="shared" si="2"/>
        <v>0.2051181716602056</v>
      </c>
      <c r="O14" s="41">
        <f t="shared" si="1"/>
        <v>0.21123752500768805</v>
      </c>
    </row>
    <row r="15" spans="2:15" x14ac:dyDescent="0.3">
      <c r="B15" s="34" t="s">
        <v>136</v>
      </c>
      <c r="C15" s="39">
        <f>HistoricalFS!C34</f>
        <v>0.11386938420431243</v>
      </c>
      <c r="D15" s="39">
        <f>HistoricalFS!D34</f>
        <v>0.11712200711657922</v>
      </c>
      <c r="E15" s="39">
        <f>HistoricalFS!E34</f>
        <v>0.1371219580813054</v>
      </c>
      <c r="F15" s="39">
        <f>HistoricalFS!F34</f>
        <v>0.14596794708725516</v>
      </c>
      <c r="G15" s="39">
        <f>HistoricalFS!G34</f>
        <v>0.15916346178015736</v>
      </c>
      <c r="H15" s="39">
        <f>HistoricalFS!H34</f>
        <v>0.16647529131581185</v>
      </c>
      <c r="I15" s="39">
        <f>HistoricalFS!I34</f>
        <v>0.16537009495481067</v>
      </c>
      <c r="J15" s="39">
        <f>HistoricalFS!J34</f>
        <v>0.16003631561571477</v>
      </c>
      <c r="K15" s="39">
        <f>HistoricalFS!K34</f>
        <v>0.15291779759596744</v>
      </c>
      <c r="L15" s="39">
        <f>HistoricalFS!L34</f>
        <v>0.14811235563441644</v>
      </c>
      <c r="M15" s="49"/>
      <c r="N15" s="47">
        <f t="shared" si="2"/>
        <v>0.14661566133863307</v>
      </c>
      <c r="O15" s="47">
        <f t="shared" si="1"/>
        <v>0.15051507661519192</v>
      </c>
    </row>
    <row r="17" spans="2:15" x14ac:dyDescent="0.3">
      <c r="B17" s="31" t="s">
        <v>137</v>
      </c>
      <c r="C17" s="37">
        <f>HistoricalFS!C16</f>
        <v>0.25023302056794877</v>
      </c>
      <c r="D17" s="37">
        <f>HistoricalFS!D16</f>
        <v>0.24603461793619202</v>
      </c>
      <c r="E17" s="37">
        <f>HistoricalFS!E16</f>
        <v>0.24566043044028696</v>
      </c>
      <c r="F17" s="37">
        <f>HistoricalFS!F16</f>
        <v>0.23782752480284916</v>
      </c>
      <c r="G17" s="37">
        <f>HistoricalFS!G16</f>
        <v>0.23396928336224015</v>
      </c>
      <c r="H17" s="37">
        <f>HistoricalFS!H16</f>
        <v>0.21478693544271499</v>
      </c>
      <c r="I17" s="37">
        <f>HistoricalFS!I16</f>
        <v>0.20064447240971667</v>
      </c>
      <c r="J17" s="37">
        <f>HistoricalFS!J16</f>
        <v>0.18243644767249917</v>
      </c>
      <c r="K17" s="37">
        <f>HistoricalFS!K16</f>
        <v>0.21949722114514669</v>
      </c>
      <c r="L17" s="37">
        <f>HistoricalFS!L16</f>
        <v>0.21781974303322191</v>
      </c>
      <c r="M17" s="48"/>
      <c r="N17" s="40">
        <f t="shared" si="2"/>
        <v>0.22489096968128167</v>
      </c>
      <c r="O17" s="40">
        <f t="shared" si="1"/>
        <v>0.22673325225369342</v>
      </c>
    </row>
    <row r="18" spans="2:15" x14ac:dyDescent="0.3">
      <c r="B18" t="s">
        <v>138</v>
      </c>
      <c r="C18" s="38">
        <f>HistoricalFS!C25</f>
        <v>1.0967501398123409E-2</v>
      </c>
      <c r="D18" s="38">
        <f>HistoricalFS!D25</f>
        <v>1.3026958567034558E-2</v>
      </c>
      <c r="E18" s="38">
        <f>HistoricalFS!E25</f>
        <v>1.4629343086228723E-2</v>
      </c>
      <c r="F18" s="38">
        <f>HistoricalFS!F25</f>
        <v>1.437293309590435E-2</v>
      </c>
      <c r="G18" s="38">
        <f>HistoricalFS!G25</f>
        <v>2.5186637508483524E-2</v>
      </c>
      <c r="H18" s="38">
        <f>HistoricalFS!H25</f>
        <v>2.2837458535340648E-2</v>
      </c>
      <c r="I18" s="38">
        <f>HistoricalFS!I25</f>
        <v>2.0802349082866187E-2</v>
      </c>
      <c r="J18" s="38">
        <f>HistoricalFS!J25</f>
        <v>1.8768570485308684E-2</v>
      </c>
      <c r="K18" s="38">
        <f>HistoricalFS!K25</f>
        <v>1.9645857567532635E-2</v>
      </c>
      <c r="L18" s="38">
        <f>HistoricalFS!L25</f>
        <v>2.1466706801223048E-2</v>
      </c>
      <c r="N18" s="41">
        <f t="shared" si="2"/>
        <v>1.8170431612804579E-2</v>
      </c>
      <c r="O18" s="41">
        <f t="shared" si="1"/>
        <v>1.9207214026420658E-2</v>
      </c>
    </row>
    <row r="19" spans="2:15" x14ac:dyDescent="0.3">
      <c r="B19" s="34" t="s">
        <v>139</v>
      </c>
      <c r="C19" s="39">
        <f>C13</f>
        <v>0.17265270614552911</v>
      </c>
      <c r="D19" s="39">
        <f t="shared" ref="D19:L19" si="3">D13</f>
        <v>0.17779386044267534</v>
      </c>
      <c r="E19" s="39">
        <f t="shared" si="3"/>
        <v>0.19634266422844282</v>
      </c>
      <c r="F19" s="39">
        <f t="shared" si="3"/>
        <v>0.21152378529636226</v>
      </c>
      <c r="G19" s="39">
        <f t="shared" si="3"/>
        <v>0.22268305557650253</v>
      </c>
      <c r="H19" s="39">
        <f t="shared" si="3"/>
        <v>0.22437696691332823</v>
      </c>
      <c r="I19" s="39">
        <f t="shared" si="3"/>
        <v>0.22434504061320215</v>
      </c>
      <c r="J19" s="39">
        <f t="shared" si="3"/>
        <v>0.21475734565863322</v>
      </c>
      <c r="K19" s="39">
        <f t="shared" si="3"/>
        <v>0.21718689414501746</v>
      </c>
      <c r="L19" s="39">
        <f t="shared" si="3"/>
        <v>0.21368482755342913</v>
      </c>
      <c r="M19" s="49"/>
      <c r="N19" s="47">
        <f t="shared" si="2"/>
        <v>0.20753471465731224</v>
      </c>
      <c r="O19" s="47">
        <f t="shared" si="1"/>
        <v>0.21422108660603117</v>
      </c>
    </row>
    <row r="21" spans="2:15" x14ac:dyDescent="0.3">
      <c r="B21" s="31" t="s">
        <v>140</v>
      </c>
      <c r="C21" s="40">
        <f>IFERROR((HistoricalFS!C18-HistoricalFS!C24)/(SUM(HistoricalFS!C47:C49)),0)</f>
        <v>0.82325925925925925</v>
      </c>
      <c r="D21" s="40">
        <f>IFERROR((HistoricalFS!D18-HistoricalFS!D24)/(SUM(HistoricalFS!D47:D49)),0)</f>
        <v>0.83976641504059246</v>
      </c>
      <c r="E21" s="40">
        <f>IFERROR((HistoricalFS!E18-HistoricalFS!E24)/(SUM(HistoricalFS!E47:E49)),0)</f>
        <v>0.95852218101909081</v>
      </c>
      <c r="F21" s="40">
        <f>IFERROR((HistoricalFS!F18-HistoricalFS!F24)/(SUM(HistoricalFS!F47:F49)),0)</f>
        <v>1.0438111975897564</v>
      </c>
      <c r="G21" s="40">
        <f>IFERROR((HistoricalFS!G18-HistoricalFS!G24)/(SUM(HistoricalFS!G47:G49)),0)</f>
        <v>1.0765585125774699</v>
      </c>
      <c r="H21" s="40">
        <f>IFERROR((HistoricalFS!H18-HistoricalFS!H24)/(SUM(HistoricalFS!H47:H49)),0)</f>
        <v>0.22133657758946176</v>
      </c>
      <c r="I21" s="40">
        <f>IFERROR((HistoricalFS!I18-HistoricalFS!I24)/(SUM(HistoricalFS!I47:I49)),0)</f>
        <v>0.23483155037521955</v>
      </c>
      <c r="J21" s="40">
        <f>IFERROR((HistoricalFS!J18-HistoricalFS!J24)/(SUM(HistoricalFS!J47:J49)),0)</f>
        <v>0.25250858839741475</v>
      </c>
      <c r="K21" s="40">
        <f>IFERROR((HistoricalFS!K18-HistoricalFS!K24)/(SUM(HistoricalFS!K47:K49)),0)</f>
        <v>0.25507570870175705</v>
      </c>
      <c r="L21" s="40">
        <f>IFERROR((HistoricalFS!L18-HistoricalFS!L24)/(SUM(HistoricalFS!L47:L49)),0)</f>
        <v>0.26421155729676787</v>
      </c>
      <c r="M21" s="48"/>
      <c r="N21" s="40">
        <f t="shared" si="2"/>
        <v>0.59698815478467915</v>
      </c>
      <c r="O21" s="40">
        <f t="shared" si="1"/>
        <v>0.54373540827801348</v>
      </c>
    </row>
    <row r="22" spans="2:15" x14ac:dyDescent="0.3">
      <c r="B22" t="s">
        <v>141</v>
      </c>
      <c r="C22" s="41">
        <f>HistoricalFS!C44</f>
        <v>5.7025920873124192E-2</v>
      </c>
      <c r="D22" s="41">
        <f>HistoricalFS!D44</f>
        <v>5.4582904222451045E-2</v>
      </c>
      <c r="E22" s="41">
        <f>HistoricalFS!E44</f>
        <v>0.11366434140336479</v>
      </c>
      <c r="F22" s="41">
        <f>HistoricalFS!F44</f>
        <v>0.17183687696061345</v>
      </c>
      <c r="G22" s="41">
        <f>HistoricalFS!G44</f>
        <v>0.14718888186986734</v>
      </c>
      <c r="H22" s="41">
        <f>HistoricalFS!H44</f>
        <v>0</v>
      </c>
      <c r="I22" s="41">
        <f>HistoricalFS!I44</f>
        <v>7.8750144125446675E-2</v>
      </c>
      <c r="J22" s="41">
        <f>HistoricalFS!J44</f>
        <v>5.4667354306343507E-2</v>
      </c>
      <c r="K22" s="41">
        <f>HistoricalFS!K44</f>
        <v>0</v>
      </c>
      <c r="L22" s="41">
        <f>HistoricalFS!L44</f>
        <v>0</v>
      </c>
      <c r="N22" s="41">
        <f t="shared" si="2"/>
        <v>6.77716423761211E-2</v>
      </c>
      <c r="O22" s="41">
        <f t="shared" si="1"/>
        <v>5.584663758973385E-2</v>
      </c>
    </row>
    <row r="23" spans="2:15" x14ac:dyDescent="0.3">
      <c r="B23" t="s">
        <v>142</v>
      </c>
      <c r="C23" s="41">
        <f>IFERROR(HistoricalFS!C33/SUM(HistoricalFS!C47:C48),0)</f>
        <v>0.55758405598661187</v>
      </c>
      <c r="D23" s="41">
        <f>IFERROR(HistoricalFS!D33/SUM(HistoricalFS!D47:D48),0)</f>
        <v>0.57591933570581255</v>
      </c>
      <c r="E23" s="41">
        <f>IFERROR(HistoricalFS!E33/SUM(HistoricalFS!E47:E48),0)</f>
        <v>0.6694135420958659</v>
      </c>
      <c r="F23" s="41">
        <f>IFERROR(HistoricalFS!F33/SUM(HistoricalFS!F47:F48),0)</f>
        <v>0.72937587390364811</v>
      </c>
      <c r="G23" s="41">
        <f>IFERROR(HistoricalFS!G33/SUM(HistoricalFS!G47:G48),0)</f>
        <v>0.76947381212784061</v>
      </c>
      <c r="H23" s="41">
        <f>IFERROR(HistoricalFS!H33/SUM(HistoricalFS!H47:H48),0)</f>
        <v>0.16421949070772329</v>
      </c>
      <c r="I23" s="41">
        <f>IFERROR(HistoricalFS!I33/SUM(HistoricalFS!I47:I48),0)</f>
        <v>0.1767799270296162</v>
      </c>
      <c r="J23" s="41">
        <f>IFERROR(HistoricalFS!J33/SUM(HistoricalFS!J47:J48),0)</f>
        <v>0.19272821246819338</v>
      </c>
      <c r="K23" s="41">
        <f>IFERROR(HistoricalFS!K33/SUM(HistoricalFS!K47:K48),0)</f>
        <v>0.18479831309305322</v>
      </c>
      <c r="L23" s="41">
        <f>IFERROR(HistoricalFS!L33/SUM(HistoricalFS!L47:L48),0)</f>
        <v>0.18924335047164081</v>
      </c>
      <c r="N23" s="41">
        <f t="shared" si="2"/>
        <v>0.42095359135900062</v>
      </c>
      <c r="O23" s="41">
        <f t="shared" si="1"/>
        <v>0.37515613422740263</v>
      </c>
    </row>
    <row r="24" spans="2:15" x14ac:dyDescent="0.3">
      <c r="B24" t="s">
        <v>143</v>
      </c>
      <c r="C24" s="41">
        <f>IFERROR(C22*C23,0)</f>
        <v>3.1796744256808181E-2</v>
      </c>
      <c r="D24" s="41">
        <f t="shared" ref="D24:L24" si="4">IFERROR(D22*D23,0)</f>
        <v>3.1435349940687994E-2</v>
      </c>
      <c r="E24" s="41">
        <f t="shared" si="4"/>
        <v>7.6088449388820215E-2</v>
      </c>
      <c r="F24" s="41">
        <f t="shared" si="4"/>
        <v>0.12533367230202108</v>
      </c>
      <c r="G24" s="41">
        <f t="shared" si="4"/>
        <v>0.11325799003524123</v>
      </c>
      <c r="H24" s="41">
        <f t="shared" si="4"/>
        <v>0</v>
      </c>
      <c r="I24" s="41">
        <f t="shared" si="4"/>
        <v>1.3921444732068222E-2</v>
      </c>
      <c r="J24" s="41">
        <f t="shared" si="4"/>
        <v>1.0535941475826979E-2</v>
      </c>
      <c r="K24" s="41">
        <f t="shared" si="4"/>
        <v>0</v>
      </c>
      <c r="L24" s="41">
        <f t="shared" si="4"/>
        <v>0</v>
      </c>
      <c r="N24" s="41">
        <f t="shared" si="2"/>
        <v>4.0236959213147391E-2</v>
      </c>
      <c r="O24" s="41">
        <f t="shared" si="1"/>
        <v>2.2678397336378109E-2</v>
      </c>
    </row>
    <row r="25" spans="2:15" x14ac:dyDescent="0.3">
      <c r="B25" s="34" t="s">
        <v>144</v>
      </c>
      <c r="C25" s="42">
        <f>IFERROR((HistoricalFS!C18-HistoricalFS!C24)/HistoricalFS!C21,0)</f>
        <v>326.88235294117646</v>
      </c>
      <c r="D25" s="42">
        <f>IFERROR((HistoricalFS!D18-HistoricalFS!D24)/HistoricalFS!D21,0)</f>
        <v>168.45714285714286</v>
      </c>
      <c r="E25" s="42">
        <f>IFERROR((HistoricalFS!E18-HistoricalFS!E24)/HistoricalFS!E21,0)</f>
        <v>268.42307692307691</v>
      </c>
      <c r="F25" s="42">
        <f>IFERROR((HistoricalFS!F18-HistoricalFS!F24)/HistoricalFS!F21,0)</f>
        <v>251.96969696969697</v>
      </c>
      <c r="G25" s="42">
        <f>IFERROR((HistoricalFS!G18-HistoricalFS!G24)/HistoricalFS!G21,0)</f>
        <v>75.076271186440678</v>
      </c>
      <c r="H25" s="42">
        <f>IFERROR((HistoricalFS!H18-HistoricalFS!H24)/HistoricalFS!H21,0)</f>
        <v>90.188034188034194</v>
      </c>
      <c r="I25" s="42">
        <f>IFERROR((HistoricalFS!I18-HistoricalFS!I24)/HistoricalFS!I21,0)</f>
        <v>111</v>
      </c>
      <c r="J25" s="42">
        <f>IFERROR((HistoricalFS!J18-HistoricalFS!J24)/HistoricalFS!J21,0)</f>
        <v>114.12280701754386</v>
      </c>
      <c r="K25" s="42">
        <f>IFERROR((HistoricalFS!K18-HistoricalFS!K24)/HistoricalFS!K21,0)</f>
        <v>40.248502994011979</v>
      </c>
      <c r="L25" s="42">
        <f>IFERROR((HistoricalFS!L18-HistoricalFS!L24)/HistoricalFS!L21,0)</f>
        <v>34.146835443037972</v>
      </c>
      <c r="M25" s="49"/>
      <c r="N25" s="42">
        <f t="shared" si="2"/>
        <v>148.05147205201621</v>
      </c>
      <c r="O25" s="42">
        <f t="shared" si="1"/>
        <v>112.56140350877193</v>
      </c>
    </row>
    <row r="27" spans="2:15" x14ac:dyDescent="0.3">
      <c r="B27" s="31" t="s">
        <v>145</v>
      </c>
      <c r="C27" s="43">
        <f>IFERROR(HistoricalFS!C6/HistoricalFS!C59,0)</f>
        <v>25.463607594936708</v>
      </c>
      <c r="D27" s="43">
        <f>IFERROR(HistoricalFS!D6/HistoricalFS!D59,0)</f>
        <v>30.56405529953917</v>
      </c>
      <c r="E27" s="43">
        <f>IFERROR(HistoricalFS!E6/HistoricalFS!E59,0)</f>
        <v>27.133587786259543</v>
      </c>
      <c r="F27" s="43">
        <f>IFERROR(HistoricalFS!F6/HistoricalFS!F59,0)</f>
        <v>21.646475770925111</v>
      </c>
      <c r="G27" s="43">
        <f>IFERROR(HistoricalFS!G6/HistoricalFS!G59,0)</f>
        <v>34.624020887728463</v>
      </c>
      <c r="H27" s="43">
        <f>IFERROR(HistoricalFS!H6/HistoricalFS!H59,0)</f>
        <v>26.750853242320819</v>
      </c>
      <c r="I27" s="43">
        <f>IFERROR(HistoricalFS!I6/HistoricalFS!I59,0)</f>
        <v>23.455277280858677</v>
      </c>
      <c r="J27" s="43">
        <f>IFERROR(HistoricalFS!J6/HistoricalFS!J59,0)</f>
        <v>19.67521922702176</v>
      </c>
      <c r="K27" s="43">
        <f>IFERROR(HistoricalFS!K6/HistoricalFS!K59,0)</f>
        <v>20.652652652652652</v>
      </c>
      <c r="L27" s="43">
        <f>IFERROR(HistoricalFS!L6/HistoricalFS!L59,0)</f>
        <v>16.52814873003404</v>
      </c>
      <c r="M27" s="48"/>
      <c r="N27" s="43">
        <f t="shared" si="2"/>
        <v>24.649389847227695</v>
      </c>
      <c r="O27" s="43">
        <f t="shared" si="1"/>
        <v>24.459442437897692</v>
      </c>
    </row>
    <row r="28" spans="2:15" x14ac:dyDescent="0.3">
      <c r="B28" t="s">
        <v>146</v>
      </c>
      <c r="C28" s="30">
        <f>IFERROR(HistoricalFS!C6/HistoricalFS!C50,0)</f>
        <v>4.0017406440382945</v>
      </c>
      <c r="D28" s="30">
        <f>IFERROR(HistoricalFS!D6/HistoricalFS!D50,0)</f>
        <v>3.818307426597582</v>
      </c>
      <c r="E28" s="30">
        <f>IFERROR(HistoricalFS!E6/HistoricalFS!E50,0)</f>
        <v>3.3593233153766184</v>
      </c>
      <c r="F28" s="30">
        <f>IFERROR(HistoricalFS!F6/HistoricalFS!F50,0)</f>
        <v>3.6865797617931162</v>
      </c>
      <c r="G28" s="30">
        <f>IFERROR(HistoricalFS!G6/HistoricalFS!G50,0)</f>
        <v>3.3363804092586382</v>
      </c>
      <c r="H28" s="30">
        <f>IFERROR(HistoricalFS!H6/HistoricalFS!H50,0)</f>
        <v>2.2324124181144973</v>
      </c>
      <c r="I28" s="30">
        <f>IFERROR(HistoricalFS!I6/HistoricalFS!I50,0)</f>
        <v>2.5706303303597688</v>
      </c>
      <c r="J28" s="30">
        <f>IFERROR(HistoricalFS!J6/HistoricalFS!J50,0)</f>
        <v>2.8106151990349817</v>
      </c>
      <c r="K28" s="30">
        <f>IFERROR(HistoricalFS!K6/HistoricalFS!K50,0)</f>
        <v>2.4002792104548805</v>
      </c>
      <c r="L28" s="30">
        <f>IFERROR(HistoricalFS!L6/HistoricalFS!L50,0)</f>
        <v>2.1907125255960853</v>
      </c>
      <c r="N28" s="30">
        <f t="shared" si="2"/>
        <v>3.040698124062446</v>
      </c>
      <c r="O28" s="30">
        <f t="shared" si="1"/>
        <v>3.0734978041468102</v>
      </c>
    </row>
    <row r="29" spans="2:15" x14ac:dyDescent="0.3">
      <c r="B29" t="s">
        <v>147</v>
      </c>
      <c r="C29" s="30">
        <f>IFERROR(HistoricalFS!C6/HistoricalFS!C60,0)</f>
        <v>11.807043286867204</v>
      </c>
      <c r="D29" s="30">
        <f>IFERROR(HistoricalFS!D6/HistoricalFS!D60,0)</f>
        <v>13.050767414403778</v>
      </c>
      <c r="E29" s="30">
        <f>IFERROR(HistoricalFS!E6/HistoricalFS!E60,0)</f>
        <v>14.144448865897333</v>
      </c>
      <c r="F29" s="30">
        <f>IFERROR(HistoricalFS!F6/HistoricalFS!F60,0)</f>
        <v>15.271950271950272</v>
      </c>
      <c r="G29" s="30">
        <f>IFERROR(HistoricalFS!G6/HistoricalFS!G60,0)</f>
        <v>14.377665341525118</v>
      </c>
      <c r="H29" s="30">
        <f>IFERROR(HistoricalFS!H6/HistoricalFS!H60,0)</f>
        <v>13.139983235540655</v>
      </c>
      <c r="I29" s="30">
        <f>IFERROR(HistoricalFS!I6/HistoricalFS!I60,0)</f>
        <v>12.80419921875</v>
      </c>
      <c r="J29" s="30">
        <f>IFERROR(HistoricalFS!J6/HistoricalFS!J60,0)</f>
        <v>14.250764525993883</v>
      </c>
      <c r="K29" s="30">
        <f>IFERROR(HistoricalFS!K6/HistoricalFS!K60,0)</f>
        <v>15.389358528095475</v>
      </c>
      <c r="L29" s="30">
        <f>IFERROR(HistoricalFS!L6/HistoricalFS!L60,0)</f>
        <v>14.296942242355605</v>
      </c>
      <c r="N29" s="30">
        <f t="shared" si="2"/>
        <v>13.853312293137932</v>
      </c>
      <c r="O29" s="30">
        <f t="shared" si="1"/>
        <v>14.197606695945609</v>
      </c>
    </row>
    <row r="30" spans="2:15" x14ac:dyDescent="0.3">
      <c r="B30" t="s">
        <v>148</v>
      </c>
      <c r="C30" s="30">
        <f>IFERROR(HistoricalFS!C6/HistoricalFS!C53,0)</f>
        <v>9.8790669122160839</v>
      </c>
      <c r="D30" s="30">
        <f>IFERROR(HistoricalFS!D6/HistoricalFS!D53,0)</f>
        <v>7.5044127630685677</v>
      </c>
      <c r="E30" s="30">
        <f>IFERROR(HistoricalFS!E6/HistoricalFS!E53,0)</f>
        <v>7.8500441696113077</v>
      </c>
      <c r="F30" s="30">
        <f>IFERROR(HistoricalFS!F6/HistoricalFS!F53,0)</f>
        <v>8.3372216330858961</v>
      </c>
      <c r="G30" s="30">
        <f>IFERROR(HistoricalFS!G6/HistoricalFS!G53,0)</f>
        <v>7.2609965322139081</v>
      </c>
      <c r="H30" s="30">
        <f>IFERROR(HistoricalFS!H6/HistoricalFS!H53,0)</f>
        <v>0.91417685593763975</v>
      </c>
      <c r="I30" s="30">
        <f>IFERROR(HistoricalFS!I6/HistoricalFS!I53,0)</f>
        <v>1.018903114254075</v>
      </c>
      <c r="J30" s="30">
        <f>IFERROR(HistoricalFS!J6/HistoricalFS!J53,0)</f>
        <v>1.1500056949770303</v>
      </c>
      <c r="K30" s="30">
        <f>IFERROR(HistoricalFS!K6/HistoricalFS!K53,0)</f>
        <v>1.1516820482286394</v>
      </c>
      <c r="L30" s="30">
        <f>IFERROR(HistoricalFS!L6/HistoricalFS!L53,0)</f>
        <v>1.1617005613324745</v>
      </c>
      <c r="N30" s="30">
        <f t="shared" si="2"/>
        <v>4.6228210284925622</v>
      </c>
      <c r="O30" s="30">
        <f t="shared" si="1"/>
        <v>4.2113485467731913</v>
      </c>
    </row>
    <row r="31" spans="2:15" x14ac:dyDescent="0.3">
      <c r="B31" s="34" t="s">
        <v>149</v>
      </c>
      <c r="C31" s="42">
        <f>IFERROR(HistoricalFS!C6/SUM(HistoricalFS!C47:C48),0)</f>
        <v>4.8966986155484555</v>
      </c>
      <c r="D31" s="42">
        <f>IFERROR(HistoricalFS!D6/SUM(HistoricalFS!D47:D48),0)</f>
        <v>4.9172597864768681</v>
      </c>
      <c r="E31" s="42">
        <f>IFERROR(HistoricalFS!E6/SUM(HistoricalFS!E47:E48),0)</f>
        <v>4.8818843565444308</v>
      </c>
      <c r="F31" s="42">
        <f>IFERROR(HistoricalFS!F6/SUM(HistoricalFS!F47:F48),0)</f>
        <v>4.9968221685521801</v>
      </c>
      <c r="G31" s="42">
        <f>IFERROR(HistoricalFS!G6/SUM(HistoricalFS!G47:G48),0)</f>
        <v>4.8344877870944218</v>
      </c>
      <c r="H31" s="42">
        <f>IFERROR(HistoricalFS!H6/SUM(HistoricalFS!H47:H48),0)</f>
        <v>0.98644963711876499</v>
      </c>
      <c r="I31" s="42">
        <f>IFERROR(HistoricalFS!I6/SUM(HistoricalFS!I47:I48),0)</f>
        <v>1.0689957399971464</v>
      </c>
      <c r="J31" s="42">
        <f>IFERROR(HistoricalFS!J6/SUM(HistoricalFS!J47:J48),0)</f>
        <v>1.2042779898218829</v>
      </c>
      <c r="K31" s="42">
        <f>IFERROR(HistoricalFS!K6/SUM(HistoricalFS!K47:K48),0)</f>
        <v>1.2084813932601819</v>
      </c>
      <c r="L31" s="42">
        <f>IFERROR(HistoricalFS!L6/SUM(HistoricalFS!L47:L48),0)</f>
        <v>1.2777013076393668</v>
      </c>
      <c r="M31" s="49"/>
      <c r="N31" s="42">
        <f t="shared" si="2"/>
        <v>3.0273058782053694</v>
      </c>
      <c r="O31" s="42">
        <f t="shared" si="1"/>
        <v>3.0560945473668943</v>
      </c>
    </row>
    <row r="32" spans="2:15" x14ac:dyDescent="0.3"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2:15" x14ac:dyDescent="0.3">
      <c r="B33" s="31" t="s">
        <v>150</v>
      </c>
      <c r="C33" s="44">
        <f>IFERROR(365/C27,0)</f>
        <v>14.334182563847637</v>
      </c>
      <c r="D33" s="44">
        <f t="shared" ref="D33:L33" si="5">IFERROR(365/D27,0)</f>
        <v>11.942132561365419</v>
      </c>
      <c r="E33" s="44">
        <f t="shared" si="5"/>
        <v>13.4519623013082</v>
      </c>
      <c r="F33" s="44">
        <f t="shared" si="5"/>
        <v>16.861867209361485</v>
      </c>
      <c r="G33" s="44">
        <f t="shared" si="5"/>
        <v>10.541814342809742</v>
      </c>
      <c r="H33" s="44">
        <f t="shared" si="5"/>
        <v>13.644424598111764</v>
      </c>
      <c r="I33" s="44">
        <f t="shared" si="5"/>
        <v>15.561529954619989</v>
      </c>
      <c r="J33" s="44">
        <f t="shared" si="5"/>
        <v>18.551254539451964</v>
      </c>
      <c r="K33" s="44">
        <f t="shared" si="5"/>
        <v>17.673274525009695</v>
      </c>
      <c r="L33" s="44">
        <f t="shared" si="5"/>
        <v>22.08353796676225</v>
      </c>
      <c r="M33" s="48"/>
      <c r="N33" s="44">
        <f t="shared" si="2"/>
        <v>15.464598056264816</v>
      </c>
      <c r="O33" s="44">
        <f>IFERROR(MEDIAN(C33:L33),0)</f>
        <v>14.947856259233813</v>
      </c>
    </row>
    <row r="34" spans="2:15" x14ac:dyDescent="0.3">
      <c r="B34" t="s">
        <v>151</v>
      </c>
      <c r="C34" s="45">
        <f>IFERROR(365/C28,0)</f>
        <v>91.210308829926049</v>
      </c>
      <c r="D34" s="45">
        <f t="shared" ref="D34:L34" si="6">IFERROR(365/D28,0)</f>
        <v>95.592093359869736</v>
      </c>
      <c r="E34" s="45">
        <f t="shared" si="6"/>
        <v>108.65283443522296</v>
      </c>
      <c r="F34" s="45">
        <f t="shared" si="6"/>
        <v>99.007758839989833</v>
      </c>
      <c r="G34" s="45">
        <f t="shared" si="6"/>
        <v>109.39999497272704</v>
      </c>
      <c r="H34" s="45">
        <f t="shared" si="6"/>
        <v>163.50025516713447</v>
      </c>
      <c r="I34" s="45">
        <f t="shared" si="6"/>
        <v>141.98852152690384</v>
      </c>
      <c r="J34" s="45">
        <f t="shared" si="6"/>
        <v>129.86480686695279</v>
      </c>
      <c r="K34" s="45">
        <f t="shared" si="6"/>
        <v>152.06564236784283</v>
      </c>
      <c r="L34" s="45">
        <f t="shared" si="6"/>
        <v>166.61245861123871</v>
      </c>
      <c r="N34" s="45">
        <f t="shared" si="2"/>
        <v>125.78946749778083</v>
      </c>
      <c r="O34" s="45">
        <f t="shared" si="1"/>
        <v>119.63240091983991</v>
      </c>
    </row>
    <row r="35" spans="2:15" x14ac:dyDescent="0.3">
      <c r="B35" t="s">
        <v>152</v>
      </c>
      <c r="C35" s="45">
        <f>IFERROR(365/C29,0)</f>
        <v>30.913751320449887</v>
      </c>
      <c r="D35" s="45">
        <f t="shared" ref="D35:L35" si="7">IFERROR(365/D29,0)</f>
        <v>27.967703998552562</v>
      </c>
      <c r="E35" s="45">
        <f t="shared" si="7"/>
        <v>25.805176536784359</v>
      </c>
      <c r="F35" s="45">
        <f t="shared" si="7"/>
        <v>23.90002543881964</v>
      </c>
      <c r="G35" s="45">
        <f t="shared" si="7"/>
        <v>25.386597290299875</v>
      </c>
      <c r="H35" s="45">
        <f t="shared" si="7"/>
        <v>27.777813217657563</v>
      </c>
      <c r="I35" s="45">
        <f t="shared" si="7"/>
        <v>28.506273119017656</v>
      </c>
      <c r="J35" s="45">
        <f t="shared" si="7"/>
        <v>25.612660944206009</v>
      </c>
      <c r="K35" s="45">
        <f t="shared" si="7"/>
        <v>23.717687734263926</v>
      </c>
      <c r="L35" s="45">
        <f t="shared" si="7"/>
        <v>25.529934570111376</v>
      </c>
      <c r="N35" s="45">
        <f t="shared" si="2"/>
        <v>26.511762417016286</v>
      </c>
      <c r="O35" s="45">
        <f t="shared" si="1"/>
        <v>25.708918740495186</v>
      </c>
    </row>
    <row r="36" spans="2:15" x14ac:dyDescent="0.3">
      <c r="B36" s="34" t="s">
        <v>156</v>
      </c>
      <c r="C36" s="46">
        <f>IFERROR(SUM(C33,C35)-C34,0)</f>
        <v>-45.962374945628525</v>
      </c>
      <c r="D36" s="46">
        <f t="shared" ref="D36:L36" si="8">IFERROR(SUM(D33,D35)-D34,0)</f>
        <v>-55.682256799951759</v>
      </c>
      <c r="E36" s="46">
        <f t="shared" si="8"/>
        <v>-69.395695597130398</v>
      </c>
      <c r="F36" s="46">
        <f t="shared" si="8"/>
        <v>-58.245866191808709</v>
      </c>
      <c r="G36" s="46">
        <f t="shared" si="8"/>
        <v>-73.471583339617425</v>
      </c>
      <c r="H36" s="46">
        <f t="shared" si="8"/>
        <v>-122.07801735136513</v>
      </c>
      <c r="I36" s="46">
        <f t="shared" si="8"/>
        <v>-97.92071845326619</v>
      </c>
      <c r="J36" s="46">
        <f t="shared" si="8"/>
        <v>-85.700891383294817</v>
      </c>
      <c r="K36" s="46">
        <f t="shared" si="8"/>
        <v>-110.67468010856921</v>
      </c>
      <c r="L36" s="46">
        <f t="shared" si="8"/>
        <v>-118.99898607436508</v>
      </c>
      <c r="M36" s="49"/>
      <c r="N36" s="46">
        <f t="shared" si="2"/>
        <v>-83.813107024499715</v>
      </c>
      <c r="O36" s="46">
        <f t="shared" si="1"/>
        <v>-79.586237361456114</v>
      </c>
    </row>
    <row r="38" spans="2:15" x14ac:dyDescent="0.3">
      <c r="B38" s="31" t="s">
        <v>153</v>
      </c>
      <c r="C38" s="40">
        <f>IFERROR(HistoricalFS!C81/HistoricalFS!C6,0)</f>
        <v>0.1295905051885913</v>
      </c>
      <c r="D38" s="40">
        <f>IFERROR(HistoricalFS!D81/HistoricalFS!D6,0)</f>
        <v>0.15635365780109764</v>
      </c>
      <c r="E38" s="40">
        <f>IFERROR(HistoricalFS!E81/HistoricalFS!E6,0)</f>
        <v>0.17045998030665355</v>
      </c>
      <c r="F38" s="40">
        <f>IFERROR(HistoricalFS!F81/HistoricalFS!F6,0)</f>
        <v>0.14754515390485881</v>
      </c>
      <c r="G38" s="40">
        <f>IFERROR(HistoricalFS!G81/HistoricalFS!G6,0)</f>
        <v>0.19161450870975039</v>
      </c>
      <c r="H38" s="40">
        <f>IFERROR(HistoricalFS!H81/HistoricalFS!H6,0)</f>
        <v>0.19484137109806923</v>
      </c>
      <c r="I38" s="40">
        <f>IFERROR(HistoricalFS!I81/HistoricalFS!I6,0)</f>
        <v>0.1725203066010754</v>
      </c>
      <c r="J38" s="40">
        <f>IFERROR(HistoricalFS!J81/HistoricalFS!J6,0)</f>
        <v>0.16492241663915483</v>
      </c>
      <c r="K38" s="40">
        <f>IFERROR(HistoricalFS!K81/HistoricalFS!K6,0)</f>
        <v>0.2499192193356598</v>
      </c>
      <c r="L38" s="40">
        <f>IFERROR(HistoricalFS!L81/HistoricalFS!L6,0)</f>
        <v>0.18830500150504587</v>
      </c>
      <c r="M38" s="48"/>
      <c r="N38" s="40">
        <f t="shared" si="2"/>
        <v>0.17660721210899566</v>
      </c>
      <c r="O38" s="40">
        <f>IFERROR(MEDIAN(C38:L38),0)</f>
        <v>0.17149014345386449</v>
      </c>
    </row>
    <row r="39" spans="2:15" x14ac:dyDescent="0.3">
      <c r="B39" t="s">
        <v>154</v>
      </c>
      <c r="C39" s="41">
        <f>IFERROR(HistoricalFS!C81/HistoricalFS!C64,0)</f>
        <v>0.28195768268775773</v>
      </c>
      <c r="D39" s="41">
        <f>IFERROR(HistoricalFS!D81/HistoricalFS!D64,0)</f>
        <v>0.33012861326881449</v>
      </c>
      <c r="E39" s="41">
        <f>IFERROR(HistoricalFS!E81/HistoricalFS!E64,0)</f>
        <v>0.33921173440824098</v>
      </c>
      <c r="F39" s="41">
        <f>IFERROR(HistoricalFS!F81/HistoricalFS!F64,0)</f>
        <v>0.31134253046325622</v>
      </c>
      <c r="G39" s="41">
        <f>IFERROR(HistoricalFS!G81/HistoricalFS!G64,0)</f>
        <v>0.3782563390065995</v>
      </c>
      <c r="H39" s="41">
        <f>IFERROR(HistoricalFS!H81/HistoricalFS!H64,0)</f>
        <v>0.13329938900203667</v>
      </c>
      <c r="I39" s="41">
        <f>IFERROR(HistoricalFS!I81/HistoricalFS!I64,0)</f>
        <v>0.12832950387201089</v>
      </c>
      <c r="J39" s="41">
        <f>IFERROR(HistoricalFS!J81/HistoricalFS!J64,0)</f>
        <v>0.13671880345389109</v>
      </c>
      <c r="K39" s="41">
        <f>IFERROR(HistoricalFS!K81/HistoricalFS!K64,0)</f>
        <v>0.19708494183898381</v>
      </c>
      <c r="L39" s="41">
        <f>IFERROR(HistoricalFS!L81/HistoricalFS!L64,0)</f>
        <v>0.14882987115435184</v>
      </c>
      <c r="N39" s="41">
        <f t="shared" si="2"/>
        <v>0.23851594091559436</v>
      </c>
      <c r="O39" s="41">
        <f t="shared" si="1"/>
        <v>0.23952131226337076</v>
      </c>
    </row>
    <row r="40" spans="2:15" x14ac:dyDescent="0.3">
      <c r="B40" s="34" t="s">
        <v>155</v>
      </c>
      <c r="C40" s="47">
        <f>IFERROR(HistoricalFS!C81/HistoricalFS!C49,0)</f>
        <v>23.564971751412429</v>
      </c>
      <c r="D40" s="47">
        <f>IFERROR(HistoricalFS!D81/HistoricalFS!D49,0)</f>
        <v>18.71841155234657</v>
      </c>
      <c r="E40" s="47">
        <f>IFERROR(HistoricalFS!E81/HistoricalFS!E49,0)</f>
        <v>0</v>
      </c>
      <c r="F40" s="47">
        <f>IFERROR(HistoricalFS!F81/HistoricalFS!F49,0)</f>
        <v>58.585858585858588</v>
      </c>
      <c r="G40" s="47">
        <f>IFERROR(HistoricalFS!G81/HistoricalFS!G49,0)</f>
        <v>0</v>
      </c>
      <c r="H40" s="47">
        <f>IFERROR(HistoricalFS!H81/HistoricalFS!H49,0)</f>
        <v>0</v>
      </c>
      <c r="I40" s="47">
        <f>IFERROR(HistoricalFS!I81/HistoricalFS!I49,0)</f>
        <v>8.6749760306807282</v>
      </c>
      <c r="J40" s="47">
        <f>IFERROR(HistoricalFS!J81/HistoricalFS!J49,0)</f>
        <v>8.1960623461853981</v>
      </c>
      <c r="K40" s="47">
        <f>IFERROR(HistoricalFS!K81/HistoricalFS!K49,0)</f>
        <v>10.423854447439354</v>
      </c>
      <c r="L40" s="47">
        <f>IFERROR(HistoricalFS!L81/HistoricalFS!L49,0)</f>
        <v>7.2123786407766994</v>
      </c>
      <c r="M40" s="49"/>
      <c r="N40" s="47">
        <f t="shared" si="2"/>
        <v>13.537651335469977</v>
      </c>
      <c r="O40" s="47">
        <f t="shared" si="1"/>
        <v>8.4355191884330623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C1A15DEB-F9E5-4799-B515-F588B1DAE3DB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 '!D5:L5</xm:f>
              <xm:sqref>M5</xm:sqref>
            </x14:sparkline>
            <x14:sparkline>
              <xm:f>'Ratio Analysis '!D6:L6</xm:f>
              <xm:sqref>M6</xm:sqref>
            </x14:sparkline>
            <x14:sparkline>
              <xm:f>'Ratio Analysis '!D7:L7</xm:f>
              <xm:sqref>M7</xm:sqref>
            </x14:sparkline>
            <x14:sparkline>
              <xm:f>'Ratio Analysis '!D8:L8</xm:f>
              <xm:sqref>M8</xm:sqref>
            </x14:sparkline>
            <x14:sparkline>
              <xm:f>'Ratio Analysis '!D9:L9</xm:f>
              <xm:sqref>M9</xm:sqref>
            </x14:sparkline>
          </x14:sparklines>
        </x14:sparklineGroup>
        <x14:sparklineGroup displayEmptyCellsAs="gap" markers="1" xr2:uid="{7CC340C9-64FF-4E65-98EC-7825EAA7D37C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 '!C11:L11</xm:f>
              <xm:sqref>M11</xm:sqref>
            </x14:sparkline>
            <x14:sparkline>
              <xm:f>'Ratio Analysis '!C12:L12</xm:f>
              <xm:sqref>M12</xm:sqref>
            </x14:sparkline>
            <x14:sparkline>
              <xm:f>'Ratio Analysis '!C13:L13</xm:f>
              <xm:sqref>M13</xm:sqref>
            </x14:sparkline>
            <x14:sparkline>
              <xm:f>'Ratio Analysis '!C14:L14</xm:f>
              <xm:sqref>M14</xm:sqref>
            </x14:sparkline>
            <x14:sparkline>
              <xm:f>'Ratio Analysis '!C15:L15</xm:f>
              <xm:sqref>M15</xm:sqref>
            </x14:sparkline>
            <x14:sparkline>
              <xm:f>'Ratio Analysis '!C16:L16</xm:f>
              <xm:sqref>M16</xm:sqref>
            </x14:sparkline>
            <x14:sparkline>
              <xm:f>'Ratio Analysis '!C17:L17</xm:f>
              <xm:sqref>M17</xm:sqref>
            </x14:sparkline>
            <x14:sparkline>
              <xm:f>'Ratio Analysis '!C18:L18</xm:f>
              <xm:sqref>M18</xm:sqref>
            </x14:sparkline>
            <x14:sparkline>
              <xm:f>'Ratio Analysis '!C19:L19</xm:f>
              <xm:sqref>M19</xm:sqref>
            </x14:sparkline>
            <x14:sparkline>
              <xm:f>'Ratio Analysis '!C20:L20</xm:f>
              <xm:sqref>M20</xm:sqref>
            </x14:sparkline>
            <x14:sparkline>
              <xm:f>'Ratio Analysis '!C21:L21</xm:f>
              <xm:sqref>M21</xm:sqref>
            </x14:sparkline>
            <x14:sparkline>
              <xm:f>'Ratio Analysis '!C22:L22</xm:f>
              <xm:sqref>M22</xm:sqref>
            </x14:sparkline>
            <x14:sparkline>
              <xm:f>'Ratio Analysis '!C23:L23</xm:f>
              <xm:sqref>M23</xm:sqref>
            </x14:sparkline>
            <x14:sparkline>
              <xm:f>'Ratio Analysis '!C24:L24</xm:f>
              <xm:sqref>M24</xm:sqref>
            </x14:sparkline>
            <x14:sparkline>
              <xm:f>'Ratio Analysis '!C25:L25</xm:f>
              <xm:sqref>M25</xm:sqref>
            </x14:sparkline>
            <x14:sparkline>
              <xm:f>'Ratio Analysis '!C26:L26</xm:f>
              <xm:sqref>M26</xm:sqref>
            </x14:sparkline>
            <x14:sparkline>
              <xm:f>'Ratio Analysis '!C27:L27</xm:f>
              <xm:sqref>M27</xm:sqref>
            </x14:sparkline>
            <x14:sparkline>
              <xm:f>'Ratio Analysis '!C28:L28</xm:f>
              <xm:sqref>M28</xm:sqref>
            </x14:sparkline>
            <x14:sparkline>
              <xm:f>'Ratio Analysis '!C29:L29</xm:f>
              <xm:sqref>M29</xm:sqref>
            </x14:sparkline>
            <x14:sparkline>
              <xm:f>'Ratio Analysis '!C30:L30</xm:f>
              <xm:sqref>M30</xm:sqref>
            </x14:sparkline>
            <x14:sparkline>
              <xm:f>'Ratio Analysis '!C31:L31</xm:f>
              <xm:sqref>M31</xm:sqref>
            </x14:sparkline>
            <x14:sparkline>
              <xm:f>'Ratio Analysis '!C32:L32</xm:f>
              <xm:sqref>M32</xm:sqref>
            </x14:sparkline>
            <x14:sparkline>
              <xm:f>'Ratio Analysis '!C33:L33</xm:f>
              <xm:sqref>M33</xm:sqref>
            </x14:sparkline>
            <x14:sparkline>
              <xm:f>'Ratio Analysis '!C34:L34</xm:f>
              <xm:sqref>M34</xm:sqref>
            </x14:sparkline>
            <x14:sparkline>
              <xm:f>'Ratio Analysis '!C35:L35</xm:f>
              <xm:sqref>M35</xm:sqref>
            </x14:sparkline>
            <x14:sparkline>
              <xm:f>'Ratio Analysis '!C36:L36</xm:f>
              <xm:sqref>M36</xm:sqref>
            </x14:sparkline>
            <x14:sparkline>
              <xm:f>'Ratio Analysis '!C37:L37</xm:f>
              <xm:sqref>M37</xm:sqref>
            </x14:sparkline>
            <x14:sparkline>
              <xm:f>'Ratio Analysis '!C38:L38</xm:f>
              <xm:sqref>M38</xm:sqref>
            </x14:sparkline>
            <x14:sparkline>
              <xm:f>'Ratio Analysis '!C39:L39</xm:f>
              <xm:sqref>M39</xm:sqref>
            </x14:sparkline>
            <x14:sparkline>
              <xm:f>'Ratio Analysis '!C40:L40</xm:f>
              <xm:sqref>M40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33C0-8E08-471A-9275-EE4BC5169782}">
  <dimension ref="B2:L41"/>
  <sheetViews>
    <sheetView showGridLines="0" topLeftCell="A20" workbookViewId="0">
      <selection activeCell="E12" sqref="E12"/>
    </sheetView>
  </sheetViews>
  <sheetFormatPr defaultRowHeight="14.4" x14ac:dyDescent="0.3"/>
  <cols>
    <col min="1" max="1" width="1.88671875" customWidth="1"/>
    <col min="2" max="2" width="21.109375" customWidth="1"/>
    <col min="3" max="3" width="9.6640625" bestFit="1" customWidth="1"/>
  </cols>
  <sheetData>
    <row r="2" spans="2:12" x14ac:dyDescent="0.3">
      <c r="B2" s="70" t="str">
        <f>"Common Size Income Statement"&amp;" "&amp;"- "&amp;'Data Sheet'!$B$1</f>
        <v>Common Size Income Statement - HINDUSTAN UNILEVER LTD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4" spans="2:12" x14ac:dyDescent="0.3">
      <c r="B4" s="63" t="s">
        <v>165</v>
      </c>
      <c r="C4" s="64">
        <f>'Data Sheet'!B16</f>
        <v>42460</v>
      </c>
      <c r="D4" s="64">
        <f>'Data Sheet'!C16</f>
        <v>42825</v>
      </c>
      <c r="E4" s="64">
        <f>'Data Sheet'!D16</f>
        <v>43190</v>
      </c>
      <c r="F4" s="64">
        <f>'Data Sheet'!E16</f>
        <v>43555</v>
      </c>
      <c r="G4" s="64">
        <f>'Data Sheet'!F16</f>
        <v>43921</v>
      </c>
      <c r="H4" s="64">
        <f>'Data Sheet'!G16</f>
        <v>44286</v>
      </c>
      <c r="I4" s="64">
        <f>'Data Sheet'!H16</f>
        <v>44651</v>
      </c>
      <c r="J4" s="64">
        <f>'Data Sheet'!I16</f>
        <v>45016</v>
      </c>
      <c r="K4" s="64">
        <f>'Data Sheet'!J16</f>
        <v>45382</v>
      </c>
      <c r="L4" s="64">
        <f>'Data Sheet'!K16</f>
        <v>45747</v>
      </c>
    </row>
    <row r="6" spans="2:12" x14ac:dyDescent="0.3">
      <c r="B6" s="67" t="str">
        <f>'Data Sheet'!A17</f>
        <v>Sales</v>
      </c>
      <c r="C6" s="69">
        <f>'Data Sheet'!B17/'Data Sheet'!B$17</f>
        <v>1</v>
      </c>
      <c r="D6" s="69">
        <f>'Data Sheet'!C17/'Data Sheet'!C$17</f>
        <v>1</v>
      </c>
      <c r="E6" s="69">
        <f>'Data Sheet'!D17/'Data Sheet'!D$17</f>
        <v>1</v>
      </c>
      <c r="F6" s="69">
        <f>'Data Sheet'!E17/'Data Sheet'!E$17</f>
        <v>1</v>
      </c>
      <c r="G6" s="69">
        <f>'Data Sheet'!F17/'Data Sheet'!F$17</f>
        <v>1</v>
      </c>
      <c r="H6" s="69">
        <f>'Data Sheet'!G17/'Data Sheet'!G$17</f>
        <v>1</v>
      </c>
      <c r="I6" s="69">
        <f>'Data Sheet'!H17/'Data Sheet'!H$17</f>
        <v>1</v>
      </c>
      <c r="J6" s="69">
        <f>'Data Sheet'!I17/'Data Sheet'!I$17</f>
        <v>1</v>
      </c>
      <c r="K6" s="69">
        <f>'Data Sheet'!J17/'Data Sheet'!J$17</f>
        <v>1</v>
      </c>
      <c r="L6" s="69">
        <f>'Data Sheet'!K17/'Data Sheet'!K$17</f>
        <v>1</v>
      </c>
    </row>
    <row r="7" spans="2:12" x14ac:dyDescent="0.3">
      <c r="B7" s="65" t="str">
        <f>'Data Sheet'!A18</f>
        <v>Raw Material Cost</v>
      </c>
      <c r="C7" s="10">
        <f>'Data Sheet'!B18/'Data Sheet'!B$17</f>
        <v>0.40961908904492639</v>
      </c>
      <c r="D7" s="10">
        <f>'Data Sheet'!C18/'Data Sheet'!C$17</f>
        <v>0.41028888486822268</v>
      </c>
      <c r="E7" s="10">
        <f>'Data Sheet'!D18/'Data Sheet'!D$17</f>
        <v>0.40042200028133351</v>
      </c>
      <c r="F7" s="10">
        <f>'Data Sheet'!E18/'Data Sheet'!E$17</f>
        <v>0.40307809717629101</v>
      </c>
      <c r="G7" s="10">
        <f>'Data Sheet'!F18/'Data Sheet'!F$17</f>
        <v>0.39456551793479627</v>
      </c>
      <c r="H7" s="10">
        <f>'Data Sheet'!G18/'Data Sheet'!G$17</f>
        <v>0.42827677128519182</v>
      </c>
      <c r="I7" s="10">
        <f>'Data Sheet'!H18/'Data Sheet'!H$17</f>
        <v>0.43608664149792165</v>
      </c>
      <c r="J7" s="10">
        <f>'Data Sheet'!I18/'Data Sheet'!I$17</f>
        <v>0.46924727632882141</v>
      </c>
      <c r="K7" s="10">
        <f>'Data Sheet'!J18/'Data Sheet'!J$17</f>
        <v>0.43333979578648057</v>
      </c>
      <c r="L7" s="10">
        <f>'Data Sheet'!K18/'Data Sheet'!K$17</f>
        <v>0.43319972750748564</v>
      </c>
    </row>
    <row r="8" spans="2:12" x14ac:dyDescent="0.3">
      <c r="B8" s="65" t="str">
        <f>'Data Sheet'!A19</f>
        <v>Change in Inventory</v>
      </c>
      <c r="C8" s="10">
        <f>'Data Sheet'!B19/'Data Sheet'!B$17</f>
        <v>-2.5787609519666937E-3</v>
      </c>
      <c r="D8" s="10">
        <f>'Data Sheet'!C19/'Data Sheet'!C$17</f>
        <v>-4.3423195223448521E-3</v>
      </c>
      <c r="E8" s="10">
        <f>'Data Sheet'!D19/'Data Sheet'!D$17</f>
        <v>2.0256013504009003E-3</v>
      </c>
      <c r="F8" s="10">
        <f>'Data Sheet'!E19/'Data Sheet'!E$17</f>
        <v>-3.0526583566522515E-4</v>
      </c>
      <c r="G8" s="10">
        <f>'Data Sheet'!F19/'Data Sheet'!F$17</f>
        <v>2.7147273961239727E-3</v>
      </c>
      <c r="H8" s="10">
        <f>'Data Sheet'!G19/'Data Sheet'!G$17</f>
        <v>8.6118907884664454E-3</v>
      </c>
      <c r="I8" s="10">
        <f>'Data Sheet'!H19/'Data Sheet'!H$17</f>
        <v>4.1947908324753078E-4</v>
      </c>
      <c r="J8" s="10">
        <f>'Data Sheet'!I19/'Data Sheet'!I$17</f>
        <v>1.2380323539121821E-3</v>
      </c>
      <c r="K8" s="10">
        <f>'Data Sheet'!J19/'Data Sheet'!J$17</f>
        <v>1.7771746154840378E-4</v>
      </c>
      <c r="L8" s="10">
        <f>'Data Sheet'!K19/'Data Sheet'!K$17</f>
        <v>2.4239159709130084E-3</v>
      </c>
    </row>
    <row r="9" spans="2:12" x14ac:dyDescent="0.3">
      <c r="B9" s="65" t="str">
        <f>'Data Sheet'!A20</f>
        <v>Power and Fuel</v>
      </c>
      <c r="C9" s="10">
        <f>'Data Sheet'!B20/'Data Sheet'!B$17</f>
        <v>9.6004473994904613E-3</v>
      </c>
      <c r="D9" s="10">
        <f>'Data Sheet'!C20/'Data Sheet'!C$17</f>
        <v>8.8957240214703574E-3</v>
      </c>
      <c r="E9" s="10">
        <f>'Data Sheet'!D20/'Data Sheet'!D$17</f>
        <v>8.2993388662259103E-3</v>
      </c>
      <c r="F9" s="10">
        <f>'Data Sheet'!E20/'Data Sheet'!E$17</f>
        <v>7.8351564487407783E-3</v>
      </c>
      <c r="G9" s="10">
        <f>'Data Sheet'!F20/'Data Sheet'!F$17</f>
        <v>7.5157730688987755E-3</v>
      </c>
      <c r="H9" s="10">
        <f>'Data Sheet'!G20/'Data Sheet'!G$17</f>
        <v>7.2084715488645061E-3</v>
      </c>
      <c r="I9" s="10">
        <f>'Data Sheet'!H20/'Data Sheet'!H$17</f>
        <v>6.0633794760324902E-3</v>
      </c>
      <c r="J9" s="10">
        <f>'Data Sheet'!I20/'Data Sheet'!I$17</f>
        <v>6.3387256520303732E-3</v>
      </c>
      <c r="K9" s="10">
        <f>'Data Sheet'!J20/'Data Sheet'!J$17</f>
        <v>7.2056352591443711E-3</v>
      </c>
      <c r="L9" s="10">
        <f>'Data Sheet'!K20/'Data Sheet'!K$17</f>
        <v>6.7647850952931672E-3</v>
      </c>
    </row>
    <row r="10" spans="2:12" x14ac:dyDescent="0.3">
      <c r="B10" s="65" t="str">
        <f>'Data Sheet'!A21</f>
        <v>Other Mfr. Exp</v>
      </c>
      <c r="C10" s="10">
        <f>'Data Sheet'!B21/'Data Sheet'!B$17</f>
        <v>9.21518672714845E-2</v>
      </c>
      <c r="D10" s="10">
        <f>'Data Sheet'!C21/'Data Sheet'!C$17</f>
        <v>8.7057475423677699E-2</v>
      </c>
      <c r="E10" s="10">
        <f>'Data Sheet'!D21/'Data Sheet'!D$17</f>
        <v>8.4343789562526375E-2</v>
      </c>
      <c r="F10" s="10">
        <f>'Data Sheet'!E21/'Data Sheet'!E$17</f>
        <v>7.7359450521495801E-2</v>
      </c>
      <c r="G10" s="10">
        <f>'Data Sheet'!F21/'Data Sheet'!F$17</f>
        <v>7.3046276047558006E-2</v>
      </c>
      <c r="H10" s="10">
        <f>'Data Sheet'!G21/'Data Sheet'!G$17</f>
        <v>6.0984945139066091E-2</v>
      </c>
      <c r="I10" s="10">
        <f>'Data Sheet'!H21/'Data Sheet'!H$17</f>
        <v>6.3951492964191739E-2</v>
      </c>
      <c r="J10" s="10">
        <f>'Data Sheet'!I21/'Data Sheet'!I$17</f>
        <v>6.2578408715747769E-2</v>
      </c>
      <c r="K10" s="10">
        <f>'Data Sheet'!J21/'Data Sheet'!J$17</f>
        <v>5.4688509758304249E-2</v>
      </c>
      <c r="L10" s="10">
        <f>'Data Sheet'!K21/'Data Sheet'!K$17</f>
        <v>6.074048256523186E-2</v>
      </c>
    </row>
    <row r="11" spans="2:12" x14ac:dyDescent="0.3">
      <c r="B11" s="65" t="str">
        <f>'Data Sheet'!A22</f>
        <v>Employee Cost</v>
      </c>
      <c r="C11" s="10">
        <f>'Data Sheet'!B22/'Data Sheet'!B$17</f>
        <v>5.2196607220530662E-2</v>
      </c>
      <c r="D11" s="10">
        <f>'Data Sheet'!C22/'Data Sheet'!C$17</f>
        <v>5.2560159218382488E-2</v>
      </c>
      <c r="E11" s="10">
        <f>'Data Sheet'!D22/'Data Sheet'!D$17</f>
        <v>5.2328034885356589E-2</v>
      </c>
      <c r="F11" s="10">
        <f>'Data Sheet'!E22/'Data Sheet'!E$17</f>
        <v>4.7697786822691428E-2</v>
      </c>
      <c r="G11" s="10">
        <f>'Data Sheet'!F22/'Data Sheet'!F$17</f>
        <v>4.574818389764472E-2</v>
      </c>
      <c r="H11" s="10">
        <f>'Data Sheet'!G22/'Data Sheet'!G$17</f>
        <v>5.0140341923960191E-2</v>
      </c>
      <c r="I11" s="10">
        <f>'Data Sheet'!H22/'Data Sheet'!H$17</f>
        <v>4.8526103039316627E-2</v>
      </c>
      <c r="J11" s="10">
        <f>'Data Sheet'!I22/'Data Sheet'!I$17</f>
        <v>4.7111257840871577E-2</v>
      </c>
      <c r="K11" s="10">
        <f>'Data Sheet'!J22/'Data Sheet'!J$17</f>
        <v>4.8613803799922452E-2</v>
      </c>
      <c r="L11" s="10">
        <f>'Data Sheet'!K22/'Data Sheet'!K$17</f>
        <v>4.8747643415028276E-2</v>
      </c>
    </row>
    <row r="12" spans="2:12" x14ac:dyDescent="0.3">
      <c r="B12" s="65" t="str">
        <f>'Data Sheet'!A23</f>
        <v>Selling and admin</v>
      </c>
      <c r="C12" s="10">
        <f>'Data Sheet'!B23/'Data Sheet'!B$17</f>
        <v>0.20943888647237929</v>
      </c>
      <c r="D12" s="10">
        <f>'Data Sheet'!C23/'Data Sheet'!C$17</f>
        <v>0.20170677281225499</v>
      </c>
      <c r="E12" s="10">
        <f>'Data Sheet'!D23/'Data Sheet'!D$17</f>
        <v>0.20402306934871289</v>
      </c>
      <c r="F12" s="10">
        <f>'Data Sheet'!E23/'Data Sheet'!E$17</f>
        <v>0.19832103790384126</v>
      </c>
      <c r="G12" s="10">
        <f>'Data Sheet'!F23/'Data Sheet'!F$17</f>
        <v>0.19153909961541363</v>
      </c>
      <c r="H12" s="10">
        <f>'Data Sheet'!G23/'Data Sheet'!G$17</f>
        <v>0.16811261376201411</v>
      </c>
      <c r="I12" s="10">
        <f>'Data Sheet'!H23/'Data Sheet'!H$17</f>
        <v>0.15566487434694734</v>
      </c>
      <c r="J12" s="10">
        <f>'Data Sheet'!I23/'Data Sheet'!I$17</f>
        <v>0.14501485638824696</v>
      </c>
      <c r="K12" s="10">
        <f>'Data Sheet'!J23/'Data Sheet'!J$17</f>
        <v>0.1741631123174357</v>
      </c>
      <c r="L12" s="10">
        <f>'Data Sheet'!K23/'Data Sheet'!K$17</f>
        <v>0.16940479396714248</v>
      </c>
    </row>
    <row r="13" spans="2:12" x14ac:dyDescent="0.3">
      <c r="B13" s="65" t="str">
        <f>'Data Sheet'!A24</f>
        <v>Other Expenses</v>
      </c>
      <c r="C13" s="10">
        <f>'Data Sheet'!B24/'Data Sheet'!B$17</f>
        <v>4.0794134095569499E-2</v>
      </c>
      <c r="D13" s="10">
        <f>'Data Sheet'!C24/'Data Sheet'!C$17</f>
        <v>4.4327845123937039E-2</v>
      </c>
      <c r="E13" s="10">
        <f>'Data Sheet'!D24/'Data Sheet'!D$17</f>
        <v>4.1637361091574059E-2</v>
      </c>
      <c r="F13" s="10">
        <f>'Data Sheet'!E24/'Data Sheet'!E$17</f>
        <v>3.9506486899007889E-2</v>
      </c>
      <c r="G13" s="10">
        <f>'Data Sheet'!F24/'Data Sheet'!F$17</f>
        <v>4.2430183746826534E-2</v>
      </c>
      <c r="H13" s="10">
        <f>'Data Sheet'!G24/'Data Sheet'!G$17</f>
        <v>4.6674321680700862E-2</v>
      </c>
      <c r="I13" s="10">
        <f>'Data Sheet'!H24/'Data Sheet'!H$17</f>
        <v>4.4979598062769327E-2</v>
      </c>
      <c r="J13" s="10">
        <f>'Data Sheet'!I24/'Data Sheet'!I$17</f>
        <v>3.742159128425223E-2</v>
      </c>
      <c r="K13" s="10">
        <f>'Data Sheet'!J24/'Data Sheet'!J$17</f>
        <v>4.5334108827711002E-2</v>
      </c>
      <c r="L13" s="10">
        <f>'Data Sheet'!K24/'Data Sheet'!K$17</f>
        <v>4.8414949066079432E-2</v>
      </c>
    </row>
    <row r="14" spans="2:12" x14ac:dyDescent="0.3">
      <c r="B14" s="65" t="str">
        <f>'Data Sheet'!A25</f>
        <v>Other Income</v>
      </c>
      <c r="C14" s="10">
        <f>'Data Sheet'!B25/'Data Sheet'!B$17</f>
        <v>1.5099732803082085E-2</v>
      </c>
      <c r="D14" s="10">
        <f>'Data Sheet'!C25/'Data Sheet'!C$17</f>
        <v>1.8273927989867923E-2</v>
      </c>
      <c r="E14" s="10">
        <f>'Data Sheet'!D25/'Data Sheet'!D$17</f>
        <v>9.9310732873821913E-3</v>
      </c>
      <c r="F14" s="10">
        <f>'Data Sheet'!E25/'Data Sheet'!E$17</f>
        <v>8.1912999236835402E-3</v>
      </c>
      <c r="G14" s="10">
        <f>'Data Sheet'!F25/'Data Sheet'!F$17</f>
        <v>1.0657818666264484E-2</v>
      </c>
      <c r="H14" s="10">
        <f>'Data Sheet'!G25/'Data Sheet'!G$17</f>
        <v>3.6148677383686313E-3</v>
      </c>
      <c r="I14" s="10">
        <f>'Data Sheet'!H25/'Data Sheet'!H$17</f>
        <v>4.1757236014186017E-3</v>
      </c>
      <c r="J14" s="10">
        <f>'Data Sheet'!I25/'Data Sheet'!I$17</f>
        <v>7.3951799273687686E-3</v>
      </c>
      <c r="K14" s="10">
        <f>'Data Sheet'!J25/'Data Sheet'!J$17</f>
        <v>1.3199560553185989E-2</v>
      </c>
      <c r="L14" s="10">
        <f>'Data Sheet'!K25/'Data Sheet'!K$17</f>
        <v>2.0943901395732007E-2</v>
      </c>
    </row>
    <row r="15" spans="2:12" x14ac:dyDescent="0.3">
      <c r="B15" s="65" t="str">
        <f>'Data Sheet'!A26</f>
        <v>Depreciation</v>
      </c>
      <c r="C15" s="10">
        <f>'Data Sheet'!B26/'Data Sheet'!B$17</f>
        <v>1.0967501398123409E-2</v>
      </c>
      <c r="D15" s="10">
        <f>'Data Sheet'!C26/'Data Sheet'!C$17</f>
        <v>1.3026958567034558E-2</v>
      </c>
      <c r="E15" s="10">
        <f>'Data Sheet'!D26/'Data Sheet'!D$17</f>
        <v>1.4629343086228723E-2</v>
      </c>
      <c r="F15" s="10">
        <f>'Data Sheet'!E26/'Data Sheet'!E$17</f>
        <v>1.437293309590435E-2</v>
      </c>
      <c r="G15" s="10">
        <f>'Data Sheet'!F26/'Data Sheet'!F$17</f>
        <v>2.5186637508483524E-2</v>
      </c>
      <c r="H15" s="10">
        <f>'Data Sheet'!G26/'Data Sheet'!G$17</f>
        <v>2.2837458535340648E-2</v>
      </c>
      <c r="I15" s="10">
        <f>'Data Sheet'!H26/'Data Sheet'!H$17</f>
        <v>2.0802349082866187E-2</v>
      </c>
      <c r="J15" s="10">
        <f>'Data Sheet'!I26/'Data Sheet'!I$17</f>
        <v>1.8768570485308684E-2</v>
      </c>
      <c r="K15" s="10">
        <f>'Data Sheet'!J26/'Data Sheet'!J$17</f>
        <v>1.9645857567532635E-2</v>
      </c>
      <c r="L15" s="10">
        <f>'Data Sheet'!K26/'Data Sheet'!K$17</f>
        <v>2.1466706801223048E-2</v>
      </c>
    </row>
    <row r="16" spans="2:12" x14ac:dyDescent="0.3">
      <c r="B16" s="65" t="str">
        <f>'Data Sheet'!A27</f>
        <v>Interest</v>
      </c>
      <c r="C16" s="10">
        <f>'Data Sheet'!B27/'Data Sheet'!B$17</f>
        <v>5.2817995401727462E-4</v>
      </c>
      <c r="D16" s="10">
        <f>'Data Sheet'!C27/'Data Sheet'!C$17</f>
        <v>1.0554248839032628E-3</v>
      </c>
      <c r="E16" s="10">
        <f>'Data Sheet'!D27/'Data Sheet'!D$17</f>
        <v>7.3146715431143621E-4</v>
      </c>
      <c r="F16" s="10">
        <f>'Data Sheet'!E27/'Data Sheet'!E$17</f>
        <v>8.3948104807936915E-4</v>
      </c>
      <c r="G16" s="10">
        <f>'Data Sheet'!F27/'Data Sheet'!F$17</f>
        <v>2.9660910439132291E-3</v>
      </c>
      <c r="H16" s="10">
        <f>'Data Sheet'!G27/'Data Sheet'!G$17</f>
        <v>2.4878795611125285E-3</v>
      </c>
      <c r="I16" s="10">
        <f>'Data Sheet'!H27/'Data Sheet'!H$17</f>
        <v>2.0211264920108303E-3</v>
      </c>
      <c r="J16" s="10">
        <f>'Data Sheet'!I27/'Data Sheet'!I$17</f>
        <v>1.881809177946517E-3</v>
      </c>
      <c r="K16" s="10">
        <f>'Data Sheet'!J27/'Data Sheet'!J$17</f>
        <v>5.3961483779242604E-3</v>
      </c>
      <c r="L16" s="10">
        <f>'Data Sheet'!K27/'Data Sheet'!K$17</f>
        <v>6.2578222778473091E-3</v>
      </c>
    </row>
    <row r="17" spans="2:12" x14ac:dyDescent="0.3">
      <c r="B17" s="65" t="str">
        <f>'Data Sheet'!A28</f>
        <v>Profit before tax</v>
      </c>
      <c r="C17" s="10">
        <f>'Data Sheet'!B28/'Data Sheet'!B$17</f>
        <v>0.18722425899459391</v>
      </c>
      <c r="D17" s="10">
        <f>'Data Sheet'!C28/'Data Sheet'!C$17</f>
        <v>0.19501236354864002</v>
      </c>
      <c r="E17" s="10">
        <f>'Data Sheet'!D28/'Data Sheet'!D$17</f>
        <v>0.20554227036151357</v>
      </c>
      <c r="F17" s="10">
        <f>'Data Sheet'!E28/'Data Sheet'!E$17</f>
        <v>0.21887560417196641</v>
      </c>
      <c r="G17" s="10">
        <f>'Data Sheet'!F28/'Data Sheet'!F$17</f>
        <v>0.23037478319885379</v>
      </c>
      <c r="H17" s="10">
        <f>'Data Sheet'!G28/'Data Sheet'!G$17</f>
        <v>0.22550395509058432</v>
      </c>
      <c r="I17" s="10">
        <f>'Data Sheet'!H28/'Data Sheet'!H$17</f>
        <v>0.22649963772260992</v>
      </c>
      <c r="J17" s="10">
        <f>'Data Sheet'!I28/'Data Sheet'!I$17</f>
        <v>0.22027071640805546</v>
      </c>
      <c r="K17" s="10">
        <f>'Data Sheet'!J28/'Data Sheet'!J$17</f>
        <v>0.22499030632027917</v>
      </c>
      <c r="L17" s="10">
        <f>'Data Sheet'!K28/'Data Sheet'!K$17</f>
        <v>0.22837090667131382</v>
      </c>
    </row>
    <row r="18" spans="2:12" x14ac:dyDescent="0.3">
      <c r="B18" s="65" t="str">
        <f>'Data Sheet'!A29</f>
        <v>Tax</v>
      </c>
      <c r="C18" s="10">
        <f>'Data Sheet'!B29/'Data Sheet'!B$17</f>
        <v>5.8255141987199402E-2</v>
      </c>
      <c r="D18" s="10">
        <f>'Data Sheet'!C29/'Data Sheet'!C$17</f>
        <v>5.9616428442192872E-2</v>
      </c>
      <c r="E18" s="10">
        <f>'Data Sheet'!D29/'Data Sheet'!D$17</f>
        <v>5.8489238992825994E-2</v>
      </c>
      <c r="F18" s="10">
        <f>'Data Sheet'!E29/'Data Sheet'!E$17</f>
        <v>6.4716357161027735E-2</v>
      </c>
      <c r="G18" s="10">
        <f>'Data Sheet'!F29/'Data Sheet'!F$17</f>
        <v>6.0553502752431945E-2</v>
      </c>
      <c r="H18" s="10">
        <f>'Data Sheet'!G29/'Data Sheet'!G$17</f>
        <v>5.5413796036403846E-2</v>
      </c>
      <c r="I18" s="10">
        <f>'Data Sheet'!H29/'Data Sheet'!H$17</f>
        <v>5.6953819166380655E-2</v>
      </c>
      <c r="J18" s="10">
        <f>'Data Sheet'!I29/'Data Sheet'!I$17</f>
        <v>5.2839220864971941E-2</v>
      </c>
      <c r="K18" s="10">
        <f>'Data Sheet'!J29/'Data Sheet'!J$17</f>
        <v>5.8872948171125761E-2</v>
      </c>
      <c r="L18" s="10">
        <f>'Data Sheet'!K29/'Data Sheet'!K$17</f>
        <v>5.9314649641165382E-2</v>
      </c>
    </row>
    <row r="19" spans="2:12" x14ac:dyDescent="0.3">
      <c r="B19" s="65" t="str">
        <f>'Data Sheet'!A30</f>
        <v>Net profit</v>
      </c>
      <c r="C19" s="10">
        <f>'Data Sheet'!B30/'Data Sheet'!B$17</f>
        <v>0.12896911700739452</v>
      </c>
      <c r="D19" s="10">
        <f>'Data Sheet'!C30/'Data Sheet'!C$17</f>
        <v>0.13497376515288584</v>
      </c>
      <c r="E19" s="10">
        <f>'Data Sheet'!D30/'Data Sheet'!D$17</f>
        <v>0.14668729779153186</v>
      </c>
      <c r="F19" s="10">
        <f>'Data Sheet'!E30/'Data Sheet'!E$17</f>
        <v>0.15400661409310609</v>
      </c>
      <c r="G19" s="10">
        <f>'Data Sheet'!F30/'Data Sheet'!F$17</f>
        <v>0.16962018952819044</v>
      </c>
      <c r="H19" s="10">
        <f>'Data Sheet'!G30/'Data Sheet'!G$17</f>
        <v>0.17000510334268945</v>
      </c>
      <c r="I19" s="10">
        <f>'Data Sheet'!H30/'Data Sheet'!H$17</f>
        <v>0.16929794455249209</v>
      </c>
      <c r="J19" s="10">
        <f>'Data Sheet'!I30/'Data Sheet'!I$17</f>
        <v>0.16705183228788378</v>
      </c>
      <c r="K19" s="10">
        <f>'Data Sheet'!J30/'Data Sheet'!J$17</f>
        <v>0.16603657748481324</v>
      </c>
      <c r="L19" s="10">
        <f>'Data Sheet'!K30/'Data Sheet'!K$17</f>
        <v>0.16870772009315441</v>
      </c>
    </row>
    <row r="20" spans="2:12" x14ac:dyDescent="0.3">
      <c r="B20" s="65" t="str">
        <f>'Data Sheet'!A31</f>
        <v>Dividend Amount</v>
      </c>
      <c r="C20" s="10">
        <f>'Data Sheet'!B31/'Data Sheet'!B$17</f>
        <v>0.10737587771080594</v>
      </c>
      <c r="D20" s="10">
        <f>'Data Sheet'!C31/'Data Sheet'!C$17</f>
        <v>0.11072914781979373</v>
      </c>
      <c r="E20" s="10">
        <f>'Data Sheet'!D31/'Data Sheet'!D$17</f>
        <v>0.12153608102405401</v>
      </c>
      <c r="F20" s="10">
        <f>'Data Sheet'!E31/'Data Sheet'!E$17</f>
        <v>0.12088527092342916</v>
      </c>
      <c r="G20" s="10">
        <f>'Data Sheet'!F31/'Data Sheet'!F$17</f>
        <v>0.13573636980619863</v>
      </c>
      <c r="H20" s="10">
        <f>'Data Sheet'!G31/'Data Sheet'!G$17</f>
        <v>0.20237943352896148</v>
      </c>
      <c r="I20" s="10">
        <f>'Data Sheet'!H31/'Data Sheet'!H$17</f>
        <v>0.15234717614308049</v>
      </c>
      <c r="J20" s="10">
        <f>'Data Sheet'!I31/'Data Sheet'!I$17</f>
        <v>0.15128755364806867</v>
      </c>
      <c r="K20" s="10">
        <f>'Data Sheet'!J31/'Data Sheet'!J$17</f>
        <v>0.1594610314075223</v>
      </c>
      <c r="L20" s="10">
        <f>'Data Sheet'!K31/'Data Sheet'!K$17</f>
        <v>0.19731943410275501</v>
      </c>
    </row>
    <row r="21" spans="2:12" x14ac:dyDescent="0.3">
      <c r="B21" s="65" t="str">
        <f>'Data Sheet'!A33</f>
        <v>EBITDA</v>
      </c>
      <c r="C21" s="10">
        <f>'Data Sheet'!B33/'Data Sheet'!B$17</f>
        <v>0.1987199403467346</v>
      </c>
      <c r="D21" s="10">
        <f>'Data Sheet'!C33/'Data Sheet'!C$17</f>
        <v>0.20867257704601652</v>
      </c>
      <c r="E21" s="10">
        <f>'Data Sheet'!D33/'Data Sheet'!D$17</f>
        <v>0.22053734702489802</v>
      </c>
      <c r="F21" s="10">
        <f>'Data Sheet'!E33/'Data Sheet'!E$17</f>
        <v>0.23393538539811753</v>
      </c>
      <c r="G21" s="10">
        <f>'Data Sheet'!F33/'Data Sheet'!F$17</f>
        <v>0.25832642083301915</v>
      </c>
      <c r="H21" s="10">
        <f>'Data Sheet'!G33/'Data Sheet'!G$17</f>
        <v>0.25074423747554647</v>
      </c>
      <c r="I21" s="10">
        <f>'Data Sheet'!H33/'Data Sheet'!H$17</f>
        <v>0.24907523929374975</v>
      </c>
      <c r="J21" s="10">
        <f>'Data Sheet'!I33/'Data Sheet'!I$17</f>
        <v>0.24054143281611093</v>
      </c>
      <c r="K21" s="10">
        <f>'Data Sheet'!J33/'Data Sheet'!J$17</f>
        <v>0.24995153160139588</v>
      </c>
      <c r="L21" s="10">
        <f>'Data Sheet'!K33/'Data Sheet'!K$17</f>
        <v>0.25574689881339013</v>
      </c>
    </row>
    <row r="22" spans="2:12" x14ac:dyDescent="0.3">
      <c r="B22" s="65"/>
    </row>
    <row r="23" spans="2:12" x14ac:dyDescent="0.3">
      <c r="B23" s="70" t="str">
        <f>"Common Size Balance Sheet"&amp;" "&amp;"- "&amp;'Data Sheet'!$B$1</f>
        <v>Common Size Balance Sheet - HINDUSTAN UNILEVER LTD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</row>
    <row r="25" spans="2:12" x14ac:dyDescent="0.3">
      <c r="B25" s="63" t="s">
        <v>165</v>
      </c>
      <c r="C25" s="64">
        <f>C4</f>
        <v>42460</v>
      </c>
      <c r="D25" s="64">
        <f t="shared" ref="D25:L25" si="0">D4</f>
        <v>42825</v>
      </c>
      <c r="E25" s="64">
        <f t="shared" si="0"/>
        <v>43190</v>
      </c>
      <c r="F25" s="64">
        <f t="shared" si="0"/>
        <v>43555</v>
      </c>
      <c r="G25" s="64">
        <f t="shared" si="0"/>
        <v>43921</v>
      </c>
      <c r="H25" s="64">
        <f t="shared" si="0"/>
        <v>44286</v>
      </c>
      <c r="I25" s="64">
        <f t="shared" si="0"/>
        <v>44651</v>
      </c>
      <c r="J25" s="64">
        <f t="shared" si="0"/>
        <v>45016</v>
      </c>
      <c r="K25" s="64">
        <f t="shared" si="0"/>
        <v>45382</v>
      </c>
      <c r="L25" s="64">
        <f t="shared" si="0"/>
        <v>45747</v>
      </c>
    </row>
    <row r="26" spans="2:12" x14ac:dyDescent="0.3">
      <c r="B26" s="9"/>
      <c r="C26" s="66"/>
      <c r="D26" s="66"/>
      <c r="E26" s="66"/>
      <c r="F26" s="66"/>
      <c r="G26" s="66"/>
      <c r="H26" s="66"/>
      <c r="I26" s="66"/>
      <c r="J26" s="66"/>
      <c r="K26" s="66"/>
      <c r="L26" s="66"/>
    </row>
    <row r="27" spans="2:12" s="9" customFormat="1" x14ac:dyDescent="0.3">
      <c r="B27" s="67" t="s">
        <v>166</v>
      </c>
      <c r="C27" s="68">
        <f>'Data Sheet'!B61/'Data Sheet'!B$61</f>
        <v>1</v>
      </c>
      <c r="D27" s="68">
        <f>'Data Sheet'!C61/'Data Sheet'!C$61</f>
        <v>1</v>
      </c>
      <c r="E27" s="68">
        <f>'Data Sheet'!D61/'Data Sheet'!D$61</f>
        <v>1</v>
      </c>
      <c r="F27" s="68">
        <f>'Data Sheet'!E61/'Data Sheet'!E$61</f>
        <v>1</v>
      </c>
      <c r="G27" s="68">
        <f>'Data Sheet'!F61/'Data Sheet'!F$61</f>
        <v>1</v>
      </c>
      <c r="H27" s="68">
        <f>'Data Sheet'!G61/'Data Sheet'!G$61</f>
        <v>1</v>
      </c>
      <c r="I27" s="68">
        <f>'Data Sheet'!H61/'Data Sheet'!H$61</f>
        <v>1</v>
      </c>
      <c r="J27" s="68">
        <f>'Data Sheet'!I61/'Data Sheet'!I$61</f>
        <v>1</v>
      </c>
      <c r="K27" s="68">
        <f>'Data Sheet'!J61/'Data Sheet'!J$61</f>
        <v>1</v>
      </c>
      <c r="L27" s="68">
        <f>'Data Sheet'!K61/'Data Sheet'!K$61</f>
        <v>1</v>
      </c>
    </row>
    <row r="28" spans="2:12" x14ac:dyDescent="0.3">
      <c r="B28" s="65" t="str">
        <f>'Data Sheet'!A57</f>
        <v>Equity Share Capital</v>
      </c>
      <c r="C28" s="10">
        <f>'Data Sheet'!B57/'Data Sheet'!B$61</f>
        <v>1.4601500709795174E-2</v>
      </c>
      <c r="D28" s="10">
        <f>'Data Sheet'!C57/'Data Sheet'!C$61</f>
        <v>1.3752705972239909E-2</v>
      </c>
      <c r="E28" s="10">
        <f>'Data Sheet'!D57/'Data Sheet'!D$61</f>
        <v>1.2092710782667115E-2</v>
      </c>
      <c r="F28" s="10">
        <f>'Data Sheet'!E57/'Data Sheet'!E$61</f>
        <v>1.1594825272424714E-2</v>
      </c>
      <c r="G28" s="10">
        <f>'Data Sheet'!F57/'Data Sheet'!F$61</f>
        <v>1.0718007244578972E-2</v>
      </c>
      <c r="H28" s="10">
        <f>'Data Sheet'!G57/'Data Sheet'!G$61</f>
        <v>3.4186790805935409E-3</v>
      </c>
      <c r="I28" s="10">
        <f>'Data Sheet'!H57/'Data Sheet'!H$61</f>
        <v>3.3330496695316712E-3</v>
      </c>
      <c r="J28" s="10">
        <f>'Data Sheet'!I57/'Data Sheet'!I$61</f>
        <v>3.2157860886462223E-3</v>
      </c>
      <c r="K28" s="10">
        <f>'Data Sheet'!J57/'Data Sheet'!J$61</f>
        <v>2.9940501216731007E-3</v>
      </c>
      <c r="L28" s="10">
        <f>'Data Sheet'!K57/'Data Sheet'!K$61</f>
        <v>2.9425390982056772E-3</v>
      </c>
    </row>
    <row r="29" spans="2:12" x14ac:dyDescent="0.3">
      <c r="B29" s="65" t="str">
        <f>'Data Sheet'!A58</f>
        <v>Reserves</v>
      </c>
      <c r="C29" s="10">
        <f>'Data Sheet'!B58/'Data Sheet'!B$61</f>
        <v>0.42973027783411072</v>
      </c>
      <c r="D29" s="10">
        <f>'Data Sheet'!C58/'Data Sheet'!C$61</f>
        <v>0.41563733604991721</v>
      </c>
      <c r="E29" s="10">
        <f>'Data Sheet'!D58/'Data Sheet'!D$61</f>
        <v>0.3955324151830702</v>
      </c>
      <c r="F29" s="10">
        <f>'Data Sheet'!E58/'Data Sheet'!E$61</f>
        <v>0.41070374147834021</v>
      </c>
      <c r="G29" s="10">
        <f>'Data Sheet'!F58/'Data Sheet'!F$61</f>
        <v>0.39760829653153379</v>
      </c>
      <c r="H29" s="10">
        <f>'Data Sheet'!G58/'Data Sheet'!G$61</f>
        <v>0.69012219959266807</v>
      </c>
      <c r="I29" s="10">
        <f>'Data Sheet'!H58/'Data Sheet'!H$61</f>
        <v>0.69250843899809944</v>
      </c>
      <c r="J29" s="10">
        <f>'Data Sheet'!I58/'Data Sheet'!I$61</f>
        <v>0.68515401562735201</v>
      </c>
      <c r="K29" s="10">
        <f>'Data Sheet'!J58/'Data Sheet'!J$61</f>
        <v>0.64955598873727527</v>
      </c>
      <c r="L29" s="10">
        <f>'Data Sheet'!K58/'Data Sheet'!K$61</f>
        <v>0.6156417865594831</v>
      </c>
    </row>
    <row r="30" spans="2:12" x14ac:dyDescent="0.3">
      <c r="B30" s="65" t="str">
        <f>'Data Sheet'!A59</f>
        <v>Borrowings</v>
      </c>
      <c r="C30" s="10">
        <f>'Data Sheet'!B59/'Data Sheet'!B$61</f>
        <v>1.1965118637193267E-2</v>
      </c>
      <c r="D30" s="10">
        <f>'Data Sheet'!C59/'Data Sheet'!C$61</f>
        <v>1.7636572010696547E-2</v>
      </c>
      <c r="E30" s="10">
        <f>'Data Sheet'!D59/'Data Sheet'!D$61</f>
        <v>0</v>
      </c>
      <c r="F30" s="10">
        <f>'Data Sheet'!E59/'Data Sheet'!E$61</f>
        <v>5.3142949165279939E-3</v>
      </c>
      <c r="G30" s="10">
        <f>'Data Sheet'!F59/'Data Sheet'!F$61</f>
        <v>0</v>
      </c>
      <c r="H30" s="10">
        <f>'Data Sheet'!G59/'Data Sheet'!G$61</f>
        <v>0</v>
      </c>
      <c r="I30" s="10">
        <f>'Data Sheet'!H59/'Data Sheet'!H$61</f>
        <v>1.4793067256687375E-2</v>
      </c>
      <c r="J30" s="10">
        <f>'Data Sheet'!I59/'Data Sheet'!I$61</f>
        <v>1.668103507259466E-2</v>
      </c>
      <c r="K30" s="10">
        <f>'Data Sheet'!J59/'Data Sheet'!J$61</f>
        <v>1.8907108002395239E-2</v>
      </c>
      <c r="L30" s="10">
        <f>'Data Sheet'!K59/'Data Sheet'!K$61</f>
        <v>2.0635338016353005E-2</v>
      </c>
    </row>
    <row r="31" spans="2:12" x14ac:dyDescent="0.3">
      <c r="B31" s="65" t="str">
        <f>'Data Sheet'!A60</f>
        <v>Other Liabilities</v>
      </c>
      <c r="C31" s="10">
        <f>'Data Sheet'!B60/'Data Sheet'!B$61</f>
        <v>0.54370310281890089</v>
      </c>
      <c r="D31" s="10">
        <f>'Data Sheet'!C60/'Data Sheet'!C$61</f>
        <v>0.55297338596714629</v>
      </c>
      <c r="E31" s="10">
        <f>'Data Sheet'!D60/'Data Sheet'!D$61</f>
        <v>0.5923748740342627</v>
      </c>
      <c r="F31" s="10">
        <f>'Data Sheet'!E60/'Data Sheet'!E$61</f>
        <v>0.57238713833270705</v>
      </c>
      <c r="G31" s="10">
        <f>'Data Sheet'!F60/'Data Sheet'!F$61</f>
        <v>0.59167369622388721</v>
      </c>
      <c r="H31" s="10">
        <f>'Data Sheet'!G60/'Data Sheet'!G$61</f>
        <v>0.30645912132673842</v>
      </c>
      <c r="I31" s="10">
        <f>'Data Sheet'!H60/'Data Sheet'!H$61</f>
        <v>0.28936544407568149</v>
      </c>
      <c r="J31" s="10">
        <f>'Data Sheet'!I60/'Data Sheet'!I$61</f>
        <v>0.29494916321140713</v>
      </c>
      <c r="K31" s="10">
        <f>'Data Sheet'!J60/'Data Sheet'!J$61</f>
        <v>0.32854285313865639</v>
      </c>
      <c r="L31" s="10">
        <f>'Data Sheet'!K60/'Data Sheet'!K$61</f>
        <v>0.36078033632595818</v>
      </c>
    </row>
    <row r="33" spans="2:12" x14ac:dyDescent="0.3">
      <c r="B33" s="67" t="s">
        <v>167</v>
      </c>
      <c r="C33" s="69">
        <f>'Data Sheet'!B76/'Data Sheet'!B$76</f>
        <v>1</v>
      </c>
      <c r="D33" s="69">
        <f>'Data Sheet'!C76/'Data Sheet'!C$76</f>
        <v>1</v>
      </c>
      <c r="E33" s="69">
        <f>'Data Sheet'!D76/'Data Sheet'!D$76</f>
        <v>1</v>
      </c>
      <c r="F33" s="69">
        <f>'Data Sheet'!E76/'Data Sheet'!E$76</f>
        <v>1</v>
      </c>
      <c r="G33" s="69">
        <f>'Data Sheet'!F76/'Data Sheet'!F$76</f>
        <v>1</v>
      </c>
      <c r="H33" s="69">
        <f>'Data Sheet'!G76/'Data Sheet'!G$76</f>
        <v>1</v>
      </c>
      <c r="I33" s="69">
        <f>'Data Sheet'!H76/'Data Sheet'!H$76</f>
        <v>1</v>
      </c>
      <c r="J33" s="69">
        <f>'Data Sheet'!I76/'Data Sheet'!I$76</f>
        <v>1</v>
      </c>
      <c r="K33" s="69">
        <f>'Data Sheet'!J76/'Data Sheet'!J$76</f>
        <v>1</v>
      </c>
      <c r="L33" s="69">
        <f>'Data Sheet'!K76/'Data Sheet'!K$76</f>
        <v>1</v>
      </c>
    </row>
    <row r="34" spans="2:12" x14ac:dyDescent="0.3">
      <c r="B34" s="65" t="str">
        <f>'Data Sheet'!A62</f>
        <v>Net Block</v>
      </c>
      <c r="C34" s="10">
        <f>'Data Sheet'!B62/'Data Sheet'!B$76</f>
        <v>0.22023930237274386</v>
      </c>
      <c r="D34" s="10">
        <f>'Data Sheet'!C62/'Data Sheet'!C$76</f>
        <v>0.2813574430154081</v>
      </c>
      <c r="E34" s="10">
        <f>'Data Sheet'!D62/'Data Sheet'!D$76</f>
        <v>0.25349904825887359</v>
      </c>
      <c r="F34" s="10">
        <f>'Data Sheet'!E62/'Data Sheet'!E$76</f>
        <v>0.25310000536797467</v>
      </c>
      <c r="G34" s="10">
        <f>'Data Sheet'!F62/'Data Sheet'!F$76</f>
        <v>0.27187019302337123</v>
      </c>
      <c r="H34" s="10">
        <f>'Data Sheet'!G62/'Data Sheet'!G$76</f>
        <v>0.74837067209775965</v>
      </c>
      <c r="I34" s="10">
        <f>'Data Sheet'!H62/'Data Sheet'!H$76</f>
        <v>0.73005134314810083</v>
      </c>
      <c r="J34" s="10">
        <f>'Data Sheet'!I62/'Data Sheet'!I$76</f>
        <v>0.720856083309386</v>
      </c>
      <c r="K34" s="10">
        <f>'Data Sheet'!J62/'Data Sheet'!J$76</f>
        <v>0.68473289250723035</v>
      </c>
      <c r="L34" s="10">
        <f>'Data Sheet'!K62/'Data Sheet'!K$76</f>
        <v>0.68035260383406582</v>
      </c>
    </row>
    <row r="35" spans="2:12" x14ac:dyDescent="0.3">
      <c r="B35" s="65" t="str">
        <f>'Data Sheet'!A63</f>
        <v>Capital Work in Progress</v>
      </c>
      <c r="C35" s="10">
        <f>'Data Sheet'!B63/'Data Sheet'!B$76</f>
        <v>2.7580612451835327E-2</v>
      </c>
      <c r="D35" s="10">
        <f>'Data Sheet'!C63/'Data Sheet'!C$76</f>
        <v>1.458041512797657E-2</v>
      </c>
      <c r="E35" s="10">
        <f>'Data Sheet'!D63/'Data Sheet'!D$76</f>
        <v>2.5808979957451572E-2</v>
      </c>
      <c r="F35" s="10">
        <f>'Data Sheet'!E63/'Data Sheet'!E$76</f>
        <v>2.1793977132427936E-2</v>
      </c>
      <c r="G35" s="10">
        <f>'Data Sheet'!F63/'Data Sheet'!F$76</f>
        <v>2.9623381134322432E-2</v>
      </c>
      <c r="H35" s="10">
        <f>'Data Sheet'!G63/'Data Sheet'!G$76</f>
        <v>1.0837940064009311E-2</v>
      </c>
      <c r="I35" s="10">
        <f>'Data Sheet'!H63/'Data Sheet'!H$76</f>
        <v>1.8622528579128019E-2</v>
      </c>
      <c r="J35" s="10">
        <f>'Data Sheet'!I63/'Data Sheet'!I$76</f>
        <v>1.5490510009989463E-2</v>
      </c>
      <c r="K35" s="10">
        <f>'Data Sheet'!J63/'Data Sheet'!J$76</f>
        <v>1.305915478602097E-2</v>
      </c>
      <c r="L35" s="10">
        <f>'Data Sheet'!K63/'Data Sheet'!K$76</f>
        <v>1.263413595782778E-2</v>
      </c>
    </row>
    <row r="36" spans="2:12" x14ac:dyDescent="0.3">
      <c r="B36" s="65" t="str">
        <f>'Data Sheet'!A64</f>
        <v>Investments</v>
      </c>
      <c r="C36" s="10">
        <f>'Data Sheet'!B64/'Data Sheet'!B$76</f>
        <v>0.17521800851754207</v>
      </c>
      <c r="D36" s="10">
        <f>'Data Sheet'!C64/'Data Sheet'!C$76</f>
        <v>0.24156373360499173</v>
      </c>
      <c r="E36" s="10">
        <f>'Data Sheet'!D64/'Data Sheet'!D$76</f>
        <v>0.16084425036390101</v>
      </c>
      <c r="F36" s="10">
        <f>'Data Sheet'!E64/'Data Sheet'!E$76</f>
        <v>0.14579419185141446</v>
      </c>
      <c r="G36" s="10">
        <f>'Data Sheet'!F64/'Data Sheet'!F$76</f>
        <v>6.2273606907160224E-2</v>
      </c>
      <c r="H36" s="10">
        <f>'Data Sheet'!G64/'Data Sheet'!G$76</f>
        <v>3.9409368635437883E-2</v>
      </c>
      <c r="I36" s="10">
        <f>'Data Sheet'!H64/'Data Sheet'!H$76</f>
        <v>4.9939012282642609E-2</v>
      </c>
      <c r="J36" s="10">
        <f>'Data Sheet'!I64/'Data Sheet'!I$76</f>
        <v>3.9437853223312398E-2</v>
      </c>
      <c r="K36" s="10">
        <f>'Data Sheet'!J64/'Data Sheet'!J$76</f>
        <v>5.8925454522289748E-2</v>
      </c>
      <c r="L36" s="10">
        <f>'Data Sheet'!K64/'Data Sheet'!K$76</f>
        <v>4.7706697719845238E-2</v>
      </c>
    </row>
    <row r="37" spans="2:12" x14ac:dyDescent="0.3">
      <c r="B37" s="65" t="str">
        <f>'Data Sheet'!A65</f>
        <v>Other Assets</v>
      </c>
      <c r="C37" s="10">
        <f>'Data Sheet'!B74/'Data Sheet'!B$76</f>
        <v>0.10383289393632124</v>
      </c>
      <c r="D37" s="10">
        <f>'Data Sheet'!C74/'Data Sheet'!C$76</f>
        <v>0.1152425824525659</v>
      </c>
      <c r="E37" s="10">
        <f>'Data Sheet'!D74/'Data Sheet'!D$76</f>
        <v>0.15071100660620312</v>
      </c>
      <c r="F37" s="10">
        <f>'Data Sheet'!E74/'Data Sheet'!E$76</f>
        <v>0.14198292984057115</v>
      </c>
      <c r="G37" s="10">
        <f>'Data Sheet'!F74/'Data Sheet'!F$76</f>
        <v>0.18821019203096312</v>
      </c>
      <c r="H37" s="10">
        <f>'Data Sheet'!G74/'Data Sheet'!G$76</f>
        <v>5.8699447192318885E-2</v>
      </c>
      <c r="I37" s="10">
        <f>'Data Sheet'!H74/'Data Sheet'!H$76</f>
        <v>5.7030607324199359E-2</v>
      </c>
      <c r="J37" s="10">
        <f>'Data Sheet'!I74/'Data Sheet'!I$76</f>
        <v>5.9895726425551132E-2</v>
      </c>
      <c r="K37" s="10">
        <f>'Data Sheet'!J74/'Data Sheet'!J$76</f>
        <v>5.7549465530201682E-2</v>
      </c>
      <c r="L37" s="10">
        <f>'Data Sheet'!K74/'Data Sheet'!K$76</f>
        <v>6.1618020860723988E-2</v>
      </c>
    </row>
    <row r="38" spans="2:12" x14ac:dyDescent="0.3">
      <c r="B38" s="65" t="str">
        <f>'Data Sheet'!A67</f>
        <v>Receivables</v>
      </c>
      <c r="C38" s="10">
        <f>'Data Sheet'!B67/'Data Sheet'!B$76</f>
        <v>8.5445818968431009E-2</v>
      </c>
      <c r="D38" s="10">
        <f>'Data Sheet'!C67/'Data Sheet'!C$76</f>
        <v>6.9081879536482871E-2</v>
      </c>
      <c r="E38" s="10">
        <f>'Data Sheet'!D67/'Data Sheet'!D$76</f>
        <v>7.3340051505990364E-2</v>
      </c>
      <c r="F38" s="10">
        <f>'Data Sheet'!E67/'Data Sheet'!E$76</f>
        <v>9.748241988297815E-2</v>
      </c>
      <c r="G38" s="10">
        <f>'Data Sheet'!F67/'Data Sheet'!F$76</f>
        <v>5.7013844092690912E-2</v>
      </c>
      <c r="H38" s="10">
        <f>'Data Sheet'!G67/'Data Sheet'!G$76</f>
        <v>2.5574629036950829E-2</v>
      </c>
      <c r="I38" s="10">
        <f>'Data Sheet'!H67/'Data Sheet'!H$76</f>
        <v>3.1713613025841775E-2</v>
      </c>
      <c r="J38" s="10">
        <f>'Data Sheet'!I67/'Data Sheet'!I$76</f>
        <v>4.2133639859326465E-2</v>
      </c>
      <c r="K38" s="10">
        <f>'Data Sheet'!J67/'Data Sheet'!J$76</f>
        <v>3.8183694530443756E-2</v>
      </c>
      <c r="L38" s="10">
        <f>'Data Sheet'!K67/'Data Sheet'!K$76</f>
        <v>4.781939070658503E-2</v>
      </c>
    </row>
    <row r="39" spans="2:12" x14ac:dyDescent="0.3">
      <c r="B39" s="65" t="str">
        <f>'Data Sheet'!A68</f>
        <v>Inventory</v>
      </c>
      <c r="C39" s="10">
        <f>'Data Sheet'!B68/'Data Sheet'!B$76</f>
        <v>0.18427634692084094</v>
      </c>
      <c r="D39" s="10">
        <f>'Data Sheet'!C68/'Data Sheet'!C$76</f>
        <v>0.16178530497898891</v>
      </c>
      <c r="E39" s="10">
        <f>'Data Sheet'!D68/'Data Sheet'!D$76</f>
        <v>0.14068973239278917</v>
      </c>
      <c r="F39" s="10">
        <f>'Data Sheet'!E68/'Data Sheet'!E$76</f>
        <v>0.13817166782972784</v>
      </c>
      <c r="G39" s="10">
        <f>'Data Sheet'!F68/'Data Sheet'!F$76</f>
        <v>0.13729965761921303</v>
      </c>
      <c r="H39" s="10">
        <f>'Data Sheet'!G68/'Data Sheet'!G$76</f>
        <v>5.2065755018911843E-2</v>
      </c>
      <c r="I39" s="10">
        <f>'Data Sheet'!H68/'Data Sheet'!H$76</f>
        <v>5.8094346580432873E-2</v>
      </c>
      <c r="J39" s="10">
        <f>'Data Sheet'!I68/'Data Sheet'!I$76</f>
        <v>5.8171517714191878E-2</v>
      </c>
      <c r="K39" s="10">
        <f>'Data Sheet'!J68/'Data Sheet'!J$76</f>
        <v>5.1242849316464729E-2</v>
      </c>
      <c r="L39" s="10">
        <f>'Data Sheet'!K68/'Data Sheet'!K$76</f>
        <v>5.5282170717353467E-2</v>
      </c>
    </row>
    <row r="40" spans="2:12" x14ac:dyDescent="0.3">
      <c r="B40" s="65" t="str">
        <f>'Data Sheet'!A69</f>
        <v>Cash &amp; Bank</v>
      </c>
      <c r="C40" s="10">
        <f>'Data Sheet'!B69/'Data Sheet'!B$76</f>
        <v>0.20340701683228554</v>
      </c>
      <c r="D40" s="10">
        <f>'Data Sheet'!C69/'Data Sheet'!C$76</f>
        <v>0.11638864128358589</v>
      </c>
      <c r="E40" s="10">
        <f>'Data Sheet'!D69/'Data Sheet'!D$76</f>
        <v>0.19510693091479117</v>
      </c>
      <c r="F40" s="10">
        <f>'Data Sheet'!E69/'Data Sheet'!E$76</f>
        <v>0.20167480809490579</v>
      </c>
      <c r="G40" s="10">
        <f>'Data Sheet'!F69/'Data Sheet'!F$76</f>
        <v>0.25370912519227906</v>
      </c>
      <c r="H40" s="10">
        <f>'Data Sheet'!G69/'Data Sheet'!G$76</f>
        <v>6.5042187954611586E-2</v>
      </c>
      <c r="I40" s="10">
        <f>'Data Sheet'!H69/'Data Sheet'!H$76</f>
        <v>5.4548549059654498E-2</v>
      </c>
      <c r="J40" s="10">
        <f>'Data Sheet'!I69/'Data Sheet'!I$76</f>
        <v>6.4014669458242676E-2</v>
      </c>
      <c r="K40" s="10">
        <f>'Data Sheet'!J69/'Data Sheet'!J$76</f>
        <v>9.6306488807348795E-2</v>
      </c>
      <c r="L40" s="10">
        <f>'Data Sheet'!K69/'Data Sheet'!K$76</f>
        <v>9.4586980203598667E-2</v>
      </c>
    </row>
    <row r="41" spans="2:12" x14ac:dyDescent="0.3">
      <c r="B41" s="65"/>
    </row>
  </sheetData>
  <mergeCells count="2">
    <mergeCell ref="B2:L2"/>
    <mergeCell ref="B23:L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2C-4CD8-4A34-BF42-7A3834966A2F}">
  <sheetPr>
    <tabColor rgb="FF0070C0"/>
  </sheetPr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97" zoomScaleNormal="120" zoomScalePageLayoutView="120" workbookViewId="0">
      <pane xSplit="1" ySplit="1" topLeftCell="B3" activePane="bottomRight" state="frozen"/>
      <selection activeCell="C4" sqref="C4"/>
      <selection pane="topRight" activeCell="C4" sqref="C4"/>
      <selection pane="bottomLeft" activeCell="C4" sqref="C4"/>
      <selection pane="bottomRight" activeCell="E11" sqref="E11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72" t="str">
        <f>IF(B2&lt;&gt;B3, "A NEW VERSION OF THE WORKSHEET IS AVAILABLE", "")</f>
        <v/>
      </c>
      <c r="F1" s="72"/>
      <c r="G1" s="72"/>
      <c r="H1" s="72"/>
      <c r="I1" s="72"/>
      <c r="J1" s="72"/>
      <c r="K1" s="72"/>
    </row>
    <row r="2" spans="1:11" x14ac:dyDescent="0.3">
      <c r="A2" s="1" t="s">
        <v>30</v>
      </c>
      <c r="B2" s="2">
        <v>2.1</v>
      </c>
      <c r="E2" s="73" t="s">
        <v>21</v>
      </c>
      <c r="F2" s="73"/>
      <c r="G2" s="73"/>
      <c r="H2" s="73"/>
      <c r="I2" s="73"/>
      <c r="J2" s="73"/>
      <c r="K2" s="73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234.95912429964724</v>
      </c>
    </row>
    <row r="7" spans="1:11" x14ac:dyDescent="0.3">
      <c r="A7" s="2" t="s">
        <v>16</v>
      </c>
      <c r="B7">
        <v>1</v>
      </c>
    </row>
    <row r="8" spans="1:11" x14ac:dyDescent="0.3">
      <c r="A8" s="2" t="s">
        <v>28</v>
      </c>
      <c r="B8">
        <v>2409.5</v>
      </c>
    </row>
    <row r="9" spans="1:11" x14ac:dyDescent="0.3">
      <c r="A9" s="2" t="s">
        <v>43</v>
      </c>
      <c r="B9">
        <v>566134.01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3" customFormat="1" x14ac:dyDescent="0.3">
      <c r="A18" s="2" t="s">
        <v>44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3" customFormat="1" x14ac:dyDescent="0.3">
      <c r="A19" s="2" t="s">
        <v>45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3" customFormat="1" x14ac:dyDescent="0.3">
      <c r="A20" s="2" t="s">
        <v>46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3" customFormat="1" x14ac:dyDescent="0.3">
      <c r="A21" s="2" t="s">
        <v>47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3" customFormat="1" x14ac:dyDescent="0.3">
      <c r="A22" s="2" t="s">
        <v>48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3" customFormat="1" x14ac:dyDescent="0.3">
      <c r="A23" s="2" t="s">
        <v>49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3" customFormat="1" x14ac:dyDescent="0.3">
      <c r="A24" s="2" t="s">
        <v>50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3" customFormat="1" x14ac:dyDescent="0.3">
      <c r="A25" s="3" t="s">
        <v>4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3" customFormat="1" x14ac:dyDescent="0.3">
      <c r="A26" s="3" t="s">
        <v>5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3" customFormat="1" x14ac:dyDescent="0.3">
      <c r="A27" s="3" t="s">
        <v>6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3" customFormat="1" x14ac:dyDescent="0.3">
      <c r="A28" s="3" t="s">
        <v>7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3" customFormat="1" x14ac:dyDescent="0.3">
      <c r="A29" s="3" t="s">
        <v>8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3" customFormat="1" x14ac:dyDescent="0.3">
      <c r="A30" s="3" t="s">
        <v>9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3" customFormat="1" x14ac:dyDescent="0.3">
      <c r="A31" s="3" t="s">
        <v>34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3" customFormat="1" x14ac:dyDescent="0.3"/>
    <row r="33" spans="1:11" x14ac:dyDescent="0.3">
      <c r="A33" s="3" t="s">
        <v>59</v>
      </c>
      <c r="B33" s="2">
        <f>B30+B29+B27+B26</f>
        <v>6396</v>
      </c>
      <c r="C33" s="2">
        <f t="shared" ref="C33:K33" si="0">C30+C29+C27+C26</f>
        <v>6920</v>
      </c>
      <c r="D33" s="2">
        <f t="shared" si="0"/>
        <v>7839</v>
      </c>
      <c r="E33" s="2">
        <f t="shared" si="0"/>
        <v>9196</v>
      </c>
      <c r="F33" s="2">
        <f t="shared" si="0"/>
        <v>10277</v>
      </c>
      <c r="G33" s="2">
        <f t="shared" si="0"/>
        <v>11792</v>
      </c>
      <c r="H33" s="2">
        <f t="shared" si="0"/>
        <v>13063</v>
      </c>
      <c r="I33" s="2">
        <f t="shared" si="0"/>
        <v>14572</v>
      </c>
      <c r="J33" s="2">
        <f t="shared" si="0"/>
        <v>15471</v>
      </c>
      <c r="K33" s="2">
        <f t="shared" si="0"/>
        <v>16143</v>
      </c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45107</v>
      </c>
      <c r="C41" s="4">
        <v>45199</v>
      </c>
      <c r="D41" s="4">
        <v>45291</v>
      </c>
      <c r="E41" s="4">
        <v>45382</v>
      </c>
      <c r="F41" s="4">
        <v>45473</v>
      </c>
      <c r="G41" s="4">
        <v>45565</v>
      </c>
      <c r="H41" s="4">
        <v>45657</v>
      </c>
      <c r="I41" s="4">
        <v>45747</v>
      </c>
      <c r="J41" s="4">
        <v>45838</v>
      </c>
      <c r="K41" s="4">
        <v>45930</v>
      </c>
    </row>
    <row r="42" spans="1:11" s="3" customFormat="1" x14ac:dyDescent="0.3">
      <c r="A42" s="3" t="s">
        <v>1</v>
      </c>
      <c r="B42">
        <v>15496</v>
      </c>
      <c r="C42">
        <v>15623</v>
      </c>
      <c r="D42">
        <v>15567</v>
      </c>
      <c r="E42">
        <v>15210</v>
      </c>
      <c r="F42">
        <v>15707</v>
      </c>
      <c r="G42">
        <v>15926</v>
      </c>
      <c r="H42">
        <v>15818</v>
      </c>
      <c r="I42">
        <v>15670</v>
      </c>
      <c r="J42">
        <v>16514</v>
      </c>
      <c r="K42">
        <v>16241</v>
      </c>
    </row>
    <row r="43" spans="1:11" s="3" customFormat="1" x14ac:dyDescent="0.3">
      <c r="A43" s="3" t="s">
        <v>2</v>
      </c>
      <c r="B43">
        <v>11832</v>
      </c>
      <c r="C43">
        <v>11828</v>
      </c>
      <c r="D43">
        <v>11902</v>
      </c>
      <c r="E43">
        <v>11675</v>
      </c>
      <c r="F43">
        <v>11965</v>
      </c>
      <c r="G43">
        <v>12139</v>
      </c>
      <c r="H43">
        <v>12123</v>
      </c>
      <c r="I43">
        <v>12052</v>
      </c>
      <c r="J43">
        <v>12797</v>
      </c>
      <c r="K43">
        <v>12515</v>
      </c>
    </row>
    <row r="44" spans="1:11" s="3" customFormat="1" x14ac:dyDescent="0.3">
      <c r="A44" s="3" t="s">
        <v>4</v>
      </c>
      <c r="B44">
        <v>146</v>
      </c>
      <c r="C44">
        <v>178</v>
      </c>
      <c r="D44">
        <v>184</v>
      </c>
      <c r="E44">
        <v>309</v>
      </c>
      <c r="F44">
        <v>209</v>
      </c>
      <c r="G44">
        <v>203</v>
      </c>
      <c r="H44">
        <v>740</v>
      </c>
      <c r="I44">
        <v>171</v>
      </c>
      <c r="J44">
        <v>74</v>
      </c>
      <c r="K44">
        <v>331</v>
      </c>
    </row>
    <row r="45" spans="1:11" s="3" customFormat="1" x14ac:dyDescent="0.3">
      <c r="A45" s="3" t="s">
        <v>5</v>
      </c>
      <c r="B45">
        <v>286</v>
      </c>
      <c r="C45">
        <v>297</v>
      </c>
      <c r="D45">
        <v>313</v>
      </c>
      <c r="E45">
        <v>320</v>
      </c>
      <c r="F45">
        <v>329</v>
      </c>
      <c r="G45">
        <v>338</v>
      </c>
      <c r="H45">
        <v>341</v>
      </c>
      <c r="I45">
        <v>347</v>
      </c>
      <c r="J45">
        <v>361</v>
      </c>
      <c r="K45">
        <v>358</v>
      </c>
    </row>
    <row r="46" spans="1:11" s="3" customFormat="1" x14ac:dyDescent="0.3">
      <c r="A46" s="3" t="s">
        <v>6</v>
      </c>
      <c r="B46">
        <v>50</v>
      </c>
      <c r="C46">
        <v>88</v>
      </c>
      <c r="D46">
        <v>91</v>
      </c>
      <c r="E46">
        <v>105</v>
      </c>
      <c r="F46">
        <v>93</v>
      </c>
      <c r="G46">
        <v>110</v>
      </c>
      <c r="H46">
        <v>112</v>
      </c>
      <c r="I46">
        <v>80</v>
      </c>
      <c r="J46">
        <v>127</v>
      </c>
      <c r="K46">
        <v>129</v>
      </c>
    </row>
    <row r="47" spans="1:11" s="3" customFormat="1" x14ac:dyDescent="0.3">
      <c r="A47" s="3" t="s">
        <v>7</v>
      </c>
      <c r="B47">
        <v>3474</v>
      </c>
      <c r="C47">
        <v>3588</v>
      </c>
      <c r="D47">
        <v>3445</v>
      </c>
      <c r="E47">
        <v>3419</v>
      </c>
      <c r="F47">
        <v>3529</v>
      </c>
      <c r="G47">
        <v>3542</v>
      </c>
      <c r="H47">
        <v>3982</v>
      </c>
      <c r="I47">
        <v>3362</v>
      </c>
      <c r="J47">
        <v>3303</v>
      </c>
      <c r="K47">
        <v>3570</v>
      </c>
    </row>
    <row r="48" spans="1:11" s="3" customFormat="1" x14ac:dyDescent="0.3">
      <c r="A48" s="3" t="s">
        <v>8</v>
      </c>
      <c r="B48">
        <v>918</v>
      </c>
      <c r="C48">
        <v>931</v>
      </c>
      <c r="D48">
        <v>937</v>
      </c>
      <c r="E48">
        <v>858</v>
      </c>
      <c r="F48">
        <v>917</v>
      </c>
      <c r="G48">
        <v>947</v>
      </c>
      <c r="H48">
        <v>993</v>
      </c>
      <c r="I48">
        <v>887</v>
      </c>
      <c r="J48">
        <v>535</v>
      </c>
      <c r="K48">
        <v>876</v>
      </c>
    </row>
    <row r="49" spans="1:11" s="3" customFormat="1" x14ac:dyDescent="0.3">
      <c r="A49" s="3" t="s">
        <v>9</v>
      </c>
      <c r="B49">
        <v>2554</v>
      </c>
      <c r="C49">
        <v>2656</v>
      </c>
      <c r="D49">
        <v>2509</v>
      </c>
      <c r="E49">
        <v>2558</v>
      </c>
      <c r="F49">
        <v>2610</v>
      </c>
      <c r="G49">
        <v>2591</v>
      </c>
      <c r="H49">
        <v>2984</v>
      </c>
      <c r="I49">
        <v>2464</v>
      </c>
      <c r="J49">
        <v>2756</v>
      </c>
      <c r="K49">
        <v>2685</v>
      </c>
    </row>
    <row r="50" spans="1:11" x14ac:dyDescent="0.3">
      <c r="A50" s="3" t="s">
        <v>3</v>
      </c>
      <c r="B50">
        <v>3664</v>
      </c>
      <c r="C50">
        <v>3795</v>
      </c>
      <c r="D50">
        <v>3665</v>
      </c>
      <c r="E50">
        <v>3535</v>
      </c>
      <c r="F50">
        <v>3742</v>
      </c>
      <c r="G50">
        <v>3787</v>
      </c>
      <c r="H50">
        <v>3695</v>
      </c>
      <c r="I50">
        <v>3618</v>
      </c>
      <c r="J50">
        <v>3717</v>
      </c>
      <c r="K50">
        <v>3726</v>
      </c>
    </row>
    <row r="51" spans="1:11" x14ac:dyDescent="0.3">
      <c r="A51" s="3" t="s">
        <v>59</v>
      </c>
      <c r="B51" s="2">
        <f>B49+B48+B46+B45</f>
        <v>3808</v>
      </c>
      <c r="C51" s="2">
        <f t="shared" ref="C51:K51" si="1">C49+C48+C46+C45</f>
        <v>3972</v>
      </c>
      <c r="D51" s="2">
        <f t="shared" si="1"/>
        <v>3850</v>
      </c>
      <c r="E51" s="2">
        <f t="shared" si="1"/>
        <v>3841</v>
      </c>
      <c r="F51" s="2">
        <f t="shared" si="1"/>
        <v>3949</v>
      </c>
      <c r="G51" s="2">
        <f t="shared" si="1"/>
        <v>3986</v>
      </c>
      <c r="H51" s="2">
        <f t="shared" si="1"/>
        <v>4430</v>
      </c>
      <c r="I51" s="2">
        <f t="shared" si="1"/>
        <v>3778</v>
      </c>
      <c r="J51" s="2">
        <f t="shared" si="1"/>
        <v>3779</v>
      </c>
      <c r="K51" s="2">
        <f t="shared" si="1"/>
        <v>4048</v>
      </c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3" t="s">
        <v>10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3" t="s">
        <v>11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">
      <c r="A59" s="3" t="s">
        <v>35</v>
      </c>
      <c r="B59">
        <v>177</v>
      </c>
      <c r="C59">
        <v>277</v>
      </c>
      <c r="D59"/>
      <c r="E59">
        <v>99</v>
      </c>
      <c r="F59"/>
      <c r="G59"/>
      <c r="H59">
        <v>1043</v>
      </c>
      <c r="I59">
        <v>1219</v>
      </c>
      <c r="J59">
        <v>1484</v>
      </c>
      <c r="K59">
        <v>1648</v>
      </c>
    </row>
    <row r="60" spans="1:11" x14ac:dyDescent="0.3">
      <c r="A60" s="3" t="s">
        <v>36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">
      <c r="A61" s="1" t="s">
        <v>12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">
      <c r="A62" s="3" t="s">
        <v>13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">
      <c r="A63" s="3" t="s">
        <v>14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">
      <c r="A64" s="3" t="s">
        <v>15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">
      <c r="A65" s="3" t="s">
        <v>37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">
      <c r="A66" s="1" t="s">
        <v>12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3" customFormat="1" x14ac:dyDescent="0.3">
      <c r="A67" s="3" t="s">
        <v>42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">
      <c r="A68" s="3" t="s">
        <v>29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">
      <c r="A69" s="2" t="s">
        <v>51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 x14ac:dyDescent="0.3">
      <c r="A70" s="2" t="s">
        <v>38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3" t="s">
        <v>169</v>
      </c>
      <c r="B74" s="2">
        <f>B65-SUM(B67:B69)</f>
        <v>1536</v>
      </c>
      <c r="C74" s="2">
        <f t="shared" ref="C74:K74" si="2">C65-SUM(C67:C69)</f>
        <v>1810</v>
      </c>
      <c r="D74" s="2">
        <f t="shared" si="2"/>
        <v>2692</v>
      </c>
      <c r="E74" s="2">
        <f t="shared" si="2"/>
        <v>2645</v>
      </c>
      <c r="F74" s="2">
        <f t="shared" si="2"/>
        <v>3793</v>
      </c>
      <c r="G74" s="2">
        <f t="shared" si="2"/>
        <v>4035</v>
      </c>
      <c r="H74" s="2">
        <f t="shared" si="2"/>
        <v>4021</v>
      </c>
      <c r="I74" s="2">
        <f t="shared" si="2"/>
        <v>4377</v>
      </c>
      <c r="J74" s="2">
        <f t="shared" si="2"/>
        <v>4517</v>
      </c>
      <c r="K74" s="2">
        <f t="shared" si="2"/>
        <v>4921</v>
      </c>
    </row>
    <row r="75" spans="1:11" x14ac:dyDescent="0.3">
      <c r="A75" s="3"/>
    </row>
    <row r="76" spans="1:11" x14ac:dyDescent="0.3">
      <c r="A76" s="3" t="s">
        <v>168</v>
      </c>
      <c r="B76" s="2">
        <f>B61</f>
        <v>14793</v>
      </c>
      <c r="C76" s="2">
        <f t="shared" ref="C76:K76" si="3">C61</f>
        <v>15706</v>
      </c>
      <c r="D76" s="2">
        <f t="shared" si="3"/>
        <v>17862</v>
      </c>
      <c r="E76" s="2">
        <f t="shared" si="3"/>
        <v>18629</v>
      </c>
      <c r="F76" s="2">
        <f t="shared" si="3"/>
        <v>20153</v>
      </c>
      <c r="G76" s="2">
        <f t="shared" si="3"/>
        <v>68740</v>
      </c>
      <c r="H76" s="2">
        <f t="shared" si="3"/>
        <v>70506</v>
      </c>
      <c r="I76" s="2">
        <f t="shared" si="3"/>
        <v>73077</v>
      </c>
      <c r="J76" s="2">
        <f t="shared" si="3"/>
        <v>78489</v>
      </c>
      <c r="K76" s="2">
        <f t="shared" si="3"/>
        <v>79863</v>
      </c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1" s="6" customFormat="1" x14ac:dyDescent="0.3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3" t="s">
        <v>17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3" customFormat="1" x14ac:dyDescent="0.3">
      <c r="A83" s="3" t="s">
        <v>18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3" customFormat="1" x14ac:dyDescent="0.3">
      <c r="A84" s="3" t="s">
        <v>19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">
      <c r="A85" s="3" t="s">
        <v>20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41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3">
      <c r="A92" s="1" t="s">
        <v>40</v>
      </c>
    </row>
    <row r="93" spans="1:11" x14ac:dyDescent="0.3">
      <c r="A93" s="2" t="s">
        <v>53</v>
      </c>
      <c r="B93" s="7">
        <v>216.39</v>
      </c>
      <c r="C93" s="7">
        <v>216.43</v>
      </c>
      <c r="D93" s="7">
        <v>216.45</v>
      </c>
      <c r="E93" s="7">
        <v>216.47</v>
      </c>
      <c r="F93" s="7">
        <v>216.48</v>
      </c>
      <c r="G93" s="7">
        <v>234.96</v>
      </c>
      <c r="H93" s="7">
        <v>234.96</v>
      </c>
      <c r="I93" s="7">
        <v>234.96</v>
      </c>
      <c r="J93" s="7">
        <v>234.96</v>
      </c>
      <c r="K93" s="7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2A8-26AD-46EB-969E-EA0A7F02AF22}">
  <dimension ref="B2:N35"/>
  <sheetViews>
    <sheetView topLeftCell="A13" workbookViewId="0">
      <selection activeCell="E15" sqref="E15"/>
    </sheetView>
  </sheetViews>
  <sheetFormatPr defaultRowHeight="14.4" x14ac:dyDescent="0.3"/>
  <cols>
    <col min="2" max="2" width="25.77734375" bestFit="1" customWidth="1"/>
    <col min="3" max="3" width="7" bestFit="1" customWidth="1"/>
    <col min="4" max="14" width="7.109375" bestFit="1" customWidth="1"/>
  </cols>
  <sheetData>
    <row r="2" spans="2:14" x14ac:dyDescent="0.3">
      <c r="C2" s="11">
        <v>41699</v>
      </c>
      <c r="D2" s="11">
        <v>42064</v>
      </c>
      <c r="E2" s="11">
        <v>42430</v>
      </c>
      <c r="F2" s="11">
        <v>42795</v>
      </c>
      <c r="G2" s="11">
        <v>43160</v>
      </c>
      <c r="H2" s="11">
        <v>43525</v>
      </c>
      <c r="I2" s="11">
        <v>43891</v>
      </c>
      <c r="J2" s="11">
        <v>44256</v>
      </c>
      <c r="K2" s="11">
        <v>44621</v>
      </c>
      <c r="L2" s="11">
        <v>44986</v>
      </c>
      <c r="M2" s="11">
        <v>45352</v>
      </c>
      <c r="N2" s="11">
        <v>45717</v>
      </c>
    </row>
    <row r="3" spans="2:14" x14ac:dyDescent="0.3">
      <c r="B3" t="s">
        <v>111</v>
      </c>
      <c r="C3" s="25">
        <v>3818</v>
      </c>
      <c r="D3" s="25">
        <v>3292</v>
      </c>
      <c r="E3" s="25">
        <v>4171</v>
      </c>
      <c r="F3" s="25">
        <v>5185</v>
      </c>
      <c r="G3" s="25">
        <v>6059</v>
      </c>
      <c r="H3" s="25">
        <v>5800</v>
      </c>
      <c r="I3" s="25">
        <v>7623</v>
      </c>
      <c r="J3" s="25">
        <v>9163</v>
      </c>
      <c r="K3" s="25">
        <v>9048</v>
      </c>
      <c r="L3" s="25">
        <v>9991</v>
      </c>
      <c r="M3" s="25">
        <v>15469</v>
      </c>
      <c r="N3" s="25">
        <v>11886</v>
      </c>
    </row>
    <row r="4" spans="2:14" x14ac:dyDescent="0.3">
      <c r="B4" t="s">
        <v>60</v>
      </c>
      <c r="C4" s="25">
        <v>4802</v>
      </c>
      <c r="D4" s="25">
        <v>5510</v>
      </c>
      <c r="E4" s="25">
        <v>6025</v>
      </c>
      <c r="F4" s="25">
        <v>6512</v>
      </c>
      <c r="G4" s="25">
        <v>7485</v>
      </c>
      <c r="H4" s="25">
        <v>8909</v>
      </c>
      <c r="I4" s="25">
        <v>9723</v>
      </c>
      <c r="J4" s="25">
        <v>11672</v>
      </c>
      <c r="K4" s="25">
        <v>12829</v>
      </c>
      <c r="L4" s="25">
        <v>14089</v>
      </c>
      <c r="M4" s="25">
        <v>14537</v>
      </c>
      <c r="N4" s="25">
        <v>14942</v>
      </c>
    </row>
    <row r="5" spans="2:14" x14ac:dyDescent="0.3">
      <c r="B5" t="s">
        <v>42</v>
      </c>
      <c r="C5">
        <v>-17</v>
      </c>
      <c r="D5">
        <v>3</v>
      </c>
      <c r="E5">
        <v>-257</v>
      </c>
      <c r="F5">
        <v>173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2:14" x14ac:dyDescent="0.3">
      <c r="B6" t="s">
        <v>29</v>
      </c>
      <c r="C6">
        <v>-201</v>
      </c>
      <c r="D6">
        <v>91</v>
      </c>
      <c r="E6">
        <v>89</v>
      </c>
      <c r="F6">
        <v>37</v>
      </c>
      <c r="G6">
        <v>-146</v>
      </c>
      <c r="H6">
        <v>-195</v>
      </c>
      <c r="I6">
        <v>-331</v>
      </c>
      <c r="J6">
        <v>-543</v>
      </c>
      <c r="K6">
        <v>-758</v>
      </c>
      <c r="L6">
        <v>-339</v>
      </c>
      <c r="M6">
        <v>74</v>
      </c>
      <c r="N6">
        <v>-584</v>
      </c>
    </row>
    <row r="7" spans="2:14" x14ac:dyDescent="0.3">
      <c r="B7" t="s">
        <v>61</v>
      </c>
      <c r="C7">
        <v>546</v>
      </c>
      <c r="D7">
        <v>-327</v>
      </c>
      <c r="E7">
        <v>164</v>
      </c>
      <c r="F7">
        <v>501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 x14ac:dyDescent="0.3">
      <c r="B8" t="s">
        <v>112</v>
      </c>
      <c r="C8">
        <v>-4</v>
      </c>
      <c r="D8">
        <v>-148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113</v>
      </c>
      <c r="C9">
        <v>0</v>
      </c>
      <c r="D9">
        <v>0</v>
      </c>
      <c r="E9">
        <v>0</v>
      </c>
      <c r="F9">
        <v>-46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2:14" x14ac:dyDescent="0.3">
      <c r="B10" t="s">
        <v>62</v>
      </c>
      <c r="C10">
        <v>81</v>
      </c>
      <c r="D10">
        <v>38</v>
      </c>
      <c r="E10">
        <v>-77</v>
      </c>
      <c r="F10">
        <v>-99</v>
      </c>
      <c r="G10">
        <v>982</v>
      </c>
      <c r="H10">
        <v>-147</v>
      </c>
      <c r="I10">
        <v>742</v>
      </c>
      <c r="J10">
        <v>442</v>
      </c>
      <c r="K10">
        <v>-242</v>
      </c>
      <c r="L10">
        <v>-621</v>
      </c>
      <c r="M10" s="25">
        <v>1239</v>
      </c>
      <c r="N10">
        <v>-204</v>
      </c>
    </row>
    <row r="11" spans="2:14" x14ac:dyDescent="0.3">
      <c r="B11" t="s">
        <v>63</v>
      </c>
      <c r="C11">
        <v>405</v>
      </c>
      <c r="D11">
        <v>-342</v>
      </c>
      <c r="E11">
        <v>-81</v>
      </c>
      <c r="F11">
        <v>566</v>
      </c>
      <c r="G11">
        <v>836</v>
      </c>
      <c r="H11">
        <v>-342</v>
      </c>
      <c r="I11">
        <v>411</v>
      </c>
      <c r="J11">
        <v>-101</v>
      </c>
      <c r="K11" s="25">
        <v>-1000</v>
      </c>
      <c r="L11">
        <v>-960</v>
      </c>
      <c r="M11" s="25">
        <v>1313</v>
      </c>
      <c r="N11">
        <v>-788</v>
      </c>
    </row>
    <row r="12" spans="2:14" x14ac:dyDescent="0.3">
      <c r="B12" t="s">
        <v>64</v>
      </c>
      <c r="C12" s="25">
        <v>-1384</v>
      </c>
      <c r="D12" s="25">
        <v>-1862</v>
      </c>
      <c r="E12" s="25">
        <v>-1765</v>
      </c>
      <c r="F12" s="25">
        <v>-1859</v>
      </c>
      <c r="G12" s="25">
        <v>-2264</v>
      </c>
      <c r="H12" s="25">
        <v>-2767</v>
      </c>
      <c r="I12" s="25">
        <v>-2505</v>
      </c>
      <c r="J12" s="25">
        <v>-2407</v>
      </c>
      <c r="K12" s="25">
        <v>-2784</v>
      </c>
      <c r="L12" s="25">
        <v>-3138</v>
      </c>
      <c r="M12">
        <v>-381</v>
      </c>
      <c r="N12" s="25">
        <v>-2268</v>
      </c>
    </row>
    <row r="13" spans="2:14" x14ac:dyDescent="0.3">
      <c r="B13" t="s">
        <v>114</v>
      </c>
      <c r="C13">
        <v>-5</v>
      </c>
      <c r="D13">
        <v>-14</v>
      </c>
      <c r="E13">
        <v>-8</v>
      </c>
      <c r="F13">
        <v>-21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4" x14ac:dyDescent="0.3">
      <c r="B14" t="s">
        <v>115</v>
      </c>
      <c r="C14">
        <v>0</v>
      </c>
      <c r="D14">
        <v>0</v>
      </c>
      <c r="E14">
        <v>0</v>
      </c>
      <c r="F14">
        <v>-13</v>
      </c>
      <c r="G14">
        <v>2</v>
      </c>
      <c r="H14">
        <v>0</v>
      </c>
      <c r="I14">
        <v>-6</v>
      </c>
      <c r="J14">
        <v>-1</v>
      </c>
      <c r="K14">
        <v>3</v>
      </c>
      <c r="L14">
        <v>0</v>
      </c>
      <c r="M14">
        <v>0</v>
      </c>
      <c r="N14">
        <v>0</v>
      </c>
    </row>
    <row r="15" spans="2:14" x14ac:dyDescent="0.3">
      <c r="B15" t="s">
        <v>116</v>
      </c>
      <c r="C15">
        <v>-475</v>
      </c>
      <c r="D15">
        <v>138</v>
      </c>
      <c r="E15">
        <v>-282</v>
      </c>
      <c r="F15" s="25">
        <v>-1173</v>
      </c>
      <c r="G15" s="25">
        <v>-1063</v>
      </c>
      <c r="H15">
        <v>-438</v>
      </c>
      <c r="I15" s="25">
        <v>1791</v>
      </c>
      <c r="J15" s="25">
        <v>-1228</v>
      </c>
      <c r="K15" s="25">
        <v>-1728</v>
      </c>
      <c r="L15" s="25">
        <v>-1484</v>
      </c>
      <c r="M15" s="25">
        <v>-5324</v>
      </c>
      <c r="N15" s="25">
        <v>6473</v>
      </c>
    </row>
    <row r="16" spans="2:14" x14ac:dyDescent="0.3">
      <c r="B16" t="s">
        <v>65</v>
      </c>
      <c r="C16">
        <v>-606</v>
      </c>
      <c r="D16">
        <v>-606</v>
      </c>
      <c r="E16">
        <v>-810</v>
      </c>
      <c r="F16" s="25">
        <v>-1113</v>
      </c>
      <c r="G16">
        <v>-895</v>
      </c>
      <c r="H16">
        <v>-767</v>
      </c>
      <c r="I16">
        <v>-862</v>
      </c>
      <c r="J16" s="25">
        <v>-4163</v>
      </c>
      <c r="K16" s="25">
        <v>-1228</v>
      </c>
      <c r="L16" s="25">
        <v>-1192</v>
      </c>
      <c r="M16" s="25">
        <v>-1477</v>
      </c>
      <c r="N16" s="25">
        <v>-1275</v>
      </c>
    </row>
    <row r="17" spans="2:14" x14ac:dyDescent="0.3">
      <c r="B17" t="s">
        <v>66</v>
      </c>
      <c r="C17">
        <v>229</v>
      </c>
      <c r="D17">
        <v>560</v>
      </c>
      <c r="E17">
        <v>99</v>
      </c>
      <c r="F17">
        <v>176</v>
      </c>
      <c r="G17">
        <v>32</v>
      </c>
      <c r="H17">
        <v>13</v>
      </c>
      <c r="I17">
        <v>52</v>
      </c>
      <c r="J17">
        <v>97</v>
      </c>
      <c r="K17">
        <v>175</v>
      </c>
      <c r="L17">
        <v>181</v>
      </c>
      <c r="M17">
        <v>20</v>
      </c>
      <c r="N17">
        <v>13</v>
      </c>
    </row>
    <row r="18" spans="2:14" x14ac:dyDescent="0.3">
      <c r="B18" t="s">
        <v>67</v>
      </c>
      <c r="C18" s="25">
        <v>-9538</v>
      </c>
      <c r="D18" s="25">
        <v>-19353</v>
      </c>
      <c r="E18" s="25">
        <v>-20666</v>
      </c>
      <c r="F18" s="25">
        <v>-31214</v>
      </c>
      <c r="G18" s="25">
        <v>-51855</v>
      </c>
      <c r="H18" s="25">
        <v>-74365</v>
      </c>
      <c r="I18" s="25">
        <v>-36090</v>
      </c>
      <c r="J18" s="25">
        <v>-39920</v>
      </c>
      <c r="K18" s="25">
        <v>-48522</v>
      </c>
      <c r="L18" s="25">
        <v>-22649</v>
      </c>
      <c r="M18" s="25">
        <v>-21337</v>
      </c>
      <c r="N18" s="25">
        <v>-22957</v>
      </c>
    </row>
    <row r="19" spans="2:14" x14ac:dyDescent="0.3">
      <c r="B19" t="s">
        <v>68</v>
      </c>
      <c r="C19" s="25">
        <v>9213</v>
      </c>
      <c r="D19" s="25">
        <v>19461</v>
      </c>
      <c r="E19" s="25">
        <v>20937</v>
      </c>
      <c r="F19" s="25">
        <v>30083</v>
      </c>
      <c r="G19" s="25">
        <v>52897</v>
      </c>
      <c r="H19" s="25">
        <v>74691</v>
      </c>
      <c r="I19" s="25">
        <v>37690</v>
      </c>
      <c r="J19" s="25">
        <v>38486</v>
      </c>
      <c r="K19" s="25">
        <v>47786</v>
      </c>
      <c r="L19" s="25">
        <v>23462</v>
      </c>
      <c r="M19" s="25">
        <v>19846</v>
      </c>
      <c r="N19" s="25">
        <v>23987</v>
      </c>
    </row>
    <row r="20" spans="2:14" x14ac:dyDescent="0.3">
      <c r="B20" t="s">
        <v>69</v>
      </c>
      <c r="C20">
        <v>232</v>
      </c>
      <c r="D20">
        <v>218</v>
      </c>
      <c r="E20">
        <v>315</v>
      </c>
      <c r="F20">
        <v>264</v>
      </c>
      <c r="G20">
        <v>297</v>
      </c>
      <c r="H20">
        <v>289</v>
      </c>
      <c r="I20">
        <v>351</v>
      </c>
      <c r="J20">
        <v>277</v>
      </c>
      <c r="K20">
        <v>161</v>
      </c>
      <c r="L20">
        <v>259</v>
      </c>
      <c r="M20">
        <v>425</v>
      </c>
      <c r="N20">
        <v>835</v>
      </c>
    </row>
    <row r="21" spans="2:14" x14ac:dyDescent="0.3">
      <c r="B21" t="s">
        <v>70</v>
      </c>
      <c r="C21">
        <v>16</v>
      </c>
      <c r="D21">
        <v>24</v>
      </c>
      <c r="E21">
        <v>33</v>
      </c>
      <c r="F21">
        <v>14</v>
      </c>
      <c r="G21">
        <v>0</v>
      </c>
      <c r="H21">
        <v>1</v>
      </c>
      <c r="I21">
        <v>1</v>
      </c>
      <c r="J21">
        <v>1</v>
      </c>
      <c r="K21">
        <v>1</v>
      </c>
      <c r="L21">
        <v>2</v>
      </c>
      <c r="M21">
        <v>3</v>
      </c>
      <c r="N21">
        <v>0</v>
      </c>
    </row>
    <row r="22" spans="2:14" x14ac:dyDescent="0.3">
      <c r="B22" t="s">
        <v>117</v>
      </c>
      <c r="C22">
        <v>-101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118</v>
      </c>
      <c r="C23">
        <v>-104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71</v>
      </c>
      <c r="C24">
        <v>0</v>
      </c>
      <c r="D24">
        <v>200</v>
      </c>
      <c r="E24">
        <v>161</v>
      </c>
      <c r="F24">
        <v>20</v>
      </c>
      <c r="G24">
        <v>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2:14" x14ac:dyDescent="0.3">
      <c r="B25" t="s">
        <v>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-334</v>
      </c>
      <c r="M25">
        <v>0</v>
      </c>
      <c r="N25">
        <v>0</v>
      </c>
    </row>
    <row r="26" spans="2:14" x14ac:dyDescent="0.3">
      <c r="B26" t="s">
        <v>73</v>
      </c>
      <c r="C26">
        <v>183</v>
      </c>
      <c r="D26">
        <v>-367</v>
      </c>
      <c r="E26">
        <v>-351</v>
      </c>
      <c r="F26">
        <v>597</v>
      </c>
      <c r="G26" s="25">
        <v>-1612</v>
      </c>
      <c r="H26">
        <v>-300</v>
      </c>
      <c r="I26">
        <v>649</v>
      </c>
      <c r="J26" s="25">
        <v>3994</v>
      </c>
      <c r="K26">
        <v>-101</v>
      </c>
      <c r="L26" s="25">
        <v>-1213</v>
      </c>
      <c r="M26" s="25">
        <v>-2804</v>
      </c>
      <c r="N26" s="25">
        <v>5870</v>
      </c>
    </row>
    <row r="27" spans="2:14" x14ac:dyDescent="0.3">
      <c r="B27" t="s">
        <v>119</v>
      </c>
      <c r="C27" s="25">
        <v>-2960</v>
      </c>
      <c r="D27" s="25">
        <v>-3462</v>
      </c>
      <c r="E27" s="25">
        <v>-3864</v>
      </c>
      <c r="F27" s="25">
        <v>-4214</v>
      </c>
      <c r="G27" s="25">
        <v>-4975</v>
      </c>
      <c r="H27" s="25">
        <v>-5390</v>
      </c>
      <c r="I27" s="25">
        <v>-6819</v>
      </c>
      <c r="J27" s="25">
        <v>-9309</v>
      </c>
      <c r="K27" s="25">
        <v>-8015</v>
      </c>
      <c r="L27" s="25">
        <v>-8953</v>
      </c>
      <c r="M27" s="25">
        <v>-10034</v>
      </c>
      <c r="N27" s="25">
        <v>-13101</v>
      </c>
    </row>
    <row r="28" spans="2:14" x14ac:dyDescent="0.3">
      <c r="B28" t="s">
        <v>74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">
      <c r="B29" t="s">
        <v>75</v>
      </c>
      <c r="C29">
        <v>0</v>
      </c>
      <c r="D29">
        <v>0</v>
      </c>
      <c r="E29">
        <v>177</v>
      </c>
      <c r="F29">
        <v>460</v>
      </c>
      <c r="G29">
        <v>0</v>
      </c>
      <c r="H29">
        <v>99</v>
      </c>
      <c r="I29">
        <v>0</v>
      </c>
      <c r="J29">
        <v>188</v>
      </c>
      <c r="K29">
        <v>55</v>
      </c>
      <c r="L29">
        <v>286</v>
      </c>
      <c r="M29">
        <v>0</v>
      </c>
      <c r="N29">
        <v>0</v>
      </c>
    </row>
    <row r="30" spans="2:14" x14ac:dyDescent="0.3">
      <c r="B30" t="s">
        <v>76</v>
      </c>
      <c r="C30">
        <v>-15</v>
      </c>
      <c r="D30">
        <v>-3</v>
      </c>
      <c r="E30">
        <v>0</v>
      </c>
      <c r="F30">
        <v>-360</v>
      </c>
      <c r="G30">
        <v>-277</v>
      </c>
      <c r="H30">
        <v>0</v>
      </c>
      <c r="I30">
        <v>-99</v>
      </c>
      <c r="J30">
        <v>-188</v>
      </c>
      <c r="K30">
        <v>-55</v>
      </c>
      <c r="L30">
        <v>-208</v>
      </c>
      <c r="M30">
        <v>-85</v>
      </c>
      <c r="N30">
        <v>0</v>
      </c>
    </row>
    <row r="31" spans="2:14" x14ac:dyDescent="0.3">
      <c r="B31" t="s">
        <v>77</v>
      </c>
      <c r="C31">
        <v>-29</v>
      </c>
      <c r="D31">
        <v>-18</v>
      </c>
      <c r="E31">
        <v>-2</v>
      </c>
      <c r="F31">
        <v>-14</v>
      </c>
      <c r="G31">
        <v>-6</v>
      </c>
      <c r="H31">
        <v>-7</v>
      </c>
      <c r="I31">
        <v>-90</v>
      </c>
      <c r="J31">
        <v>-92</v>
      </c>
      <c r="K31">
        <v>-82</v>
      </c>
      <c r="L31">
        <v>-88</v>
      </c>
      <c r="M31">
        <v>-110</v>
      </c>
      <c r="N31">
        <v>-130</v>
      </c>
    </row>
    <row r="32" spans="2:14" x14ac:dyDescent="0.3">
      <c r="B32" t="s">
        <v>78</v>
      </c>
      <c r="C32" s="25">
        <v>-2481</v>
      </c>
      <c r="D32" s="25">
        <v>-2912</v>
      </c>
      <c r="E32" s="25">
        <v>-3354</v>
      </c>
      <c r="F32" s="25">
        <v>-3572</v>
      </c>
      <c r="G32" s="25">
        <v>-3911</v>
      </c>
      <c r="H32" s="25">
        <v>-4554</v>
      </c>
      <c r="I32" s="25">
        <v>-5196</v>
      </c>
      <c r="J32" s="25">
        <v>-8811</v>
      </c>
      <c r="K32" s="25">
        <v>-7526</v>
      </c>
      <c r="L32" s="25">
        <v>-8474</v>
      </c>
      <c r="M32" s="25">
        <v>-9416</v>
      </c>
      <c r="N32" s="25">
        <v>-12473</v>
      </c>
    </row>
    <row r="33" spans="2:14" x14ac:dyDescent="0.3">
      <c r="B33" t="s">
        <v>79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-373</v>
      </c>
      <c r="J33">
        <v>-406</v>
      </c>
      <c r="K33">
        <v>-407</v>
      </c>
      <c r="L33">
        <v>-467</v>
      </c>
      <c r="M33">
        <v>-423</v>
      </c>
      <c r="N33">
        <v>-498</v>
      </c>
    </row>
    <row r="34" spans="2:14" x14ac:dyDescent="0.3">
      <c r="B34" t="s">
        <v>80</v>
      </c>
      <c r="C34">
        <v>-437</v>
      </c>
      <c r="D34">
        <v>-533</v>
      </c>
      <c r="E34">
        <v>-685</v>
      </c>
      <c r="F34">
        <v>-728</v>
      </c>
      <c r="G34">
        <v>-781</v>
      </c>
      <c r="H34">
        <v>-928</v>
      </c>
      <c r="I34" s="25">
        <v>-1061</v>
      </c>
      <c r="J34">
        <v>0</v>
      </c>
      <c r="K34">
        <v>0</v>
      </c>
      <c r="L34">
        <v>-2</v>
      </c>
      <c r="M34">
        <v>0</v>
      </c>
      <c r="N34">
        <v>0</v>
      </c>
    </row>
    <row r="35" spans="2:14" x14ac:dyDescent="0.3">
      <c r="B35" t="s">
        <v>20</v>
      </c>
      <c r="C35">
        <v>383</v>
      </c>
      <c r="D35">
        <v>-33</v>
      </c>
      <c r="E35">
        <v>25</v>
      </c>
      <c r="F35">
        <v>-202</v>
      </c>
      <c r="G35">
        <v>21</v>
      </c>
      <c r="H35">
        <v>-28</v>
      </c>
      <c r="I35" s="25">
        <v>2595</v>
      </c>
      <c r="J35" s="25">
        <v>-1374</v>
      </c>
      <c r="K35">
        <v>-695</v>
      </c>
      <c r="L35">
        <v>-446</v>
      </c>
      <c r="M35">
        <v>111</v>
      </c>
      <c r="N35" s="25">
        <v>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Financials&gt;</vt:lpstr>
      <vt:lpstr>HistoricalFS</vt:lpstr>
      <vt:lpstr>Forecasting </vt:lpstr>
      <vt:lpstr>Ratio Analysis </vt:lpstr>
      <vt:lpstr>Common Size Statement </vt:lpstr>
      <vt:lpstr>Data&gt;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Arjit Uttam</cp:lastModifiedBy>
  <cp:lastPrinted>2012-12-06T18:14:13Z</cp:lastPrinted>
  <dcterms:created xsi:type="dcterms:W3CDTF">2012-08-17T09:55:37Z</dcterms:created>
  <dcterms:modified xsi:type="dcterms:W3CDTF">2026-04-05T17:29:35Z</dcterms:modified>
</cp:coreProperties>
</file>